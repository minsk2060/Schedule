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29" i="1" a="1"/>
  <c r="G39" i="1" a="1"/>
  <c r="G35" i="1" a="1"/>
  <c r="G30" i="1" a="1"/>
  <c r="G47" i="1" a="1"/>
  <c r="G32" i="1" a="1"/>
  <c r="G43" i="1" a="1"/>
  <c r="G27" i="1" a="1"/>
  <c r="G34" i="1" a="1"/>
  <c r="G19" i="1" a="1"/>
  <c r="G40" i="1" a="1"/>
  <c r="G21" i="1" a="1"/>
  <c r="G31" i="1" a="1"/>
  <c r="G38" i="1" a="1"/>
  <c r="G42" i="1" a="1"/>
  <c r="G18" i="1" a="1"/>
  <c r="G46" i="1" a="1"/>
  <c r="G20" i="1" a="1"/>
  <c r="G41" i="1" a="1"/>
  <c r="G36" i="1" a="1"/>
  <c r="G44" i="1" a="1"/>
  <c r="G49" i="1" a="1"/>
  <c r="G24" i="1" a="1"/>
  <c r="G48" i="1" a="1"/>
  <c r="G23" i="1" a="1"/>
  <c r="G17" i="1" a="1"/>
  <c r="G26" i="1" a="1"/>
  <c r="G25" i="1" a="1"/>
  <c r="G33" i="1" a="1"/>
  <c r="G22" i="1" a="1"/>
  <c r="G37" i="1" a="1"/>
  <c r="G45" i="1" a="1"/>
  <c r="G28"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<sst xmlns="http://schemas.openxmlformats.org/spreadsheetml/2006/main" count="624" uniqueCount="125">
  <si>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</si>
  <si>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</si>
  <si>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</si>
  <si>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</si>
  <si>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</si>
  <si>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</si>
  <si>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</si>
  <si>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</si>
  <si>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</si>
  <si>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</si>
  <si>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</si>
  <si>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</si>
  <si>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</si>
  <si>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</si>
  <si>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</si>
  <si>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</si>
  <si>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</si>
  <si>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</si>
  <si>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</si>
  <si>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</si>
  <si>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</si>
  <si>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</si>
  <si>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</si>
  <si>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</si>
  <si>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</si>
  <si>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</si>
  <si>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</si>
  <si>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</si>
  <si>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</si>
  <si>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</si>
  <si>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</si>
  <si>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</si>
  <si>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</si>
  <si>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</si>
  <si>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</si>
  <si>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</si>
  <si>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</si>
  <si>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</si>
  <si>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</si>
  <si>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</si>
  <si>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</si>
  <si>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</si>
  <si>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</si>
  <si>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</si>
  <si>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</si>
  <si>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</si>
  <si>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</si>
  <si>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</si>
  <si>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</si>
  <si>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</si>
  <si>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</si>
  <si>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</si>
  <si>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</si>
  <si>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</si>
  <si>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</si>
  <si>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</si>
  <si>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</si>
  <si>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</si>
  <si>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</si>
  <si>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</si>
  <si>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</si>
  <si>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</si>
  <si>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</si>
  <si>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</si>
  <si>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</si>
  <si>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</si>
  <si>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</si>
  <si>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</si>
  <si>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</si>
  <si>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</si>
  <si>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</si>
  <si>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</si>
  <si>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</si>
  <si>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</si>
  <si>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</si>
  <si>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</si>
  <si>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</si>
  <si>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</si>
  <si>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</si>
  <si>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</si>
  <si>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</si>
  <si>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</si>
  <si>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</si>
  <si>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</si>
  <si>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</si>
  <si>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</si>
  <si>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</si>
  <si>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</si>
  <si>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</si>
  <si>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</si>
  <si>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</si>
  <si>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</si>
  <si>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</si>
  <si>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</si>
  <si>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</si>
  <si>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</si>
  <si>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</si>
  <si>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</si>
  <si>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</si>
  <si>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</si>
  <si>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</si>
  <si>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</si>
  <si>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</si>
  <si>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</si>
  <si>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</si>
  <si>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</si>
  <si>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</si>
  <si>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</si>
  <si>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</si>
  <si>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</si>
  <si>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</si>
  <si>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</si>
  <si>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</si>
  <si>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</si>
  <si>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</si>
  <si>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</si>
  <si>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</si>
  <si>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</si>
  <si>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</si>
  <si>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</si>
  <si>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</si>
  <si>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желтый</t>
  </si>
  <si>
    <t>скорость</t>
  </si>
  <si>
    <t>низкая</t>
  </si>
  <si>
    <t>высокая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</si>
</sst>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topLeftCell="B1" zoomScale="190" zoomScaleNormal="190"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25</v>
      </c>
      <c r="C2" s="39"/>
      <c r="D2" s="40"/>
      <c r="E2" s="40"/>
      <c r="F2" s="40"/>
      <c r="G2" s="40"/>
      <c r="H2" s="40"/>
      <c r="I2" s="40"/>
      <c r="J2" s="40"/>
    </row>
    <row r="3" spans="1:13" ht="12" customHeight="1">
      <c r="B3" s="29" t="str">
        <f>ИНДЕКС(B17:B49;(ПОИСКПОЗ(B2;A17:A49;1=0)))</f>
        <v>Раздевалки игрового зала</v>
      </c>
      <c r="C3" s="41"/>
      <c r="D3" s="42"/>
      <c r="E3" s="42"/>
      <c r="F3" s="42"/>
      <c r="G3" s="42"/>
      <c r="H3" s="42"/>
      <c r="I3" s="42"/>
      <c r="J3" s="42"/>
    </row>
    <row r="4" spans="1:13" s="3" customFormat="1">
      <c r="B4" s="4" t="s">
        <v>6</v>
      </c>
      <c r="C4" s="4" t="s">
        <v>36</v>
      </c>
      <c r="D4" s="4" t="s">
        <v>122</v>
      </c>
      <c r="E4" s="4" t="s">
        <v>5</v>
      </c>
      <c r="F4" s="4" t="s">
        <v>3</v>
      </c>
      <c r="G4" s="4" t="s">
        <v>122</v>
      </c>
      <c r="H4" s="4" t="s">
        <v>5</v>
      </c>
      <c r="I4" s="4" t="s">
        <v>3</v>
      </c>
      <c r="J4" s="22" t="s">
        <v>36</v>
      </c>
    </row>
    <row r="5" spans="1:13" ht="16.5" customHeight="1">
      <c r="B5" s="5" t="s">
        <v>108</v>
      </c>
      <c r="C5" s="1" t="str">
        <f>ЕСЛИ(ИЛИ(D5="фигурное катание";D5="высокая";D5="желтый");2;ЕСЛИ(ИЛИ(D5="низкая";D5="хоккей";D5="синий");1;""))</f>
        <v/>
      </c>
      <c r="D5" s="6"/>
      <c r="E5" s="7"/>
      <c r="F5" s="7">
        <v>0.71944444444444444</v>
      </c>
      <c r="G5" s="6"/>
      <c r="H5" s="7"/>
      <c r="I5" s="7"/>
      <c r="J5" s="19" t="str">
        <f>ЕСЛИ(ИЛИ(G5="фигурное катание";G5="высокая";G5="желтый");2;ЕСЛИ(ИЛИ(G5="низкая";G5="хоккей";G5="синий");1;""))</f>
        <v/>
      </c>
      <c r="K5" s="33"/>
      <c r="L5" s="33">
        <v>0</v>
      </c>
      <c r="M5" s="34"/>
    </row>
    <row r="6" spans="1:13" ht="16.5" customHeight="1">
      <c r="B6" s="5" t="s">
        <v>109</v>
      </c>
      <c r="C6" s="1" t="str">
        <f t="shared" ref="C6:C11" si="0">ЕСЛИ(ИЛИ(D6="фигурное катание";D6="высокая";D6="желтый");2;ЕСЛИ(ИЛИ(D6="низкая";D6="хоккей";D6="синий");1;""))</f>
        <v/>
      </c>
      <c r="D6" s="6"/>
      <c r="E6" s="7"/>
      <c r="F6" s="7"/>
      <c r="G6" s="6"/>
      <c r="H6" s="7"/>
      <c r="I6" s="7"/>
      <c r="J6" s="19" t="str">
        <f t="shared" ref="J6:J11" si="1">ЕСЛИ(ИЛИ(G6="фигурное катание";G6="высокая";G6="желтый");2;ЕСЛИ(ИЛИ(G6="низкая";G6="хоккей";G6="синий");1;""))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t="str">
        <f t="shared" si="0"/>
        <v/>
      </c>
      <c r="D8" s="6"/>
      <c r="E8" s="7"/>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c r="H10" s="7"/>
      <c r="I10" s="7"/>
      <c r="J10" s="19" t="str">
        <f t="shared" si="1"/>
        <v/>
      </c>
      <c r="L10" s="33">
        <v>0.104166666666667</v>
      </c>
    </row>
    <row r="11" spans="1:13" ht="16.5" customHeight="1">
      <c r="B11" s="5" t="s">
        <v>114</v>
      </c>
      <c r="C11" s="1" t="str">
        <f t="shared" si="0"/>
        <v/>
      </c>
      <c r="D11" s="6"/>
      <c r="E11" s="7"/>
      <c r="F11" s="7"/>
      <c r="G11" s="6"/>
      <c r="H11" s="7"/>
      <c r="I11" s="7"/>
      <c r="J11" s="19" t="str">
        <f t="shared" si="1"/>
        <v/>
      </c>
      <c r="L11" s="33">
        <v>0.125</v>
      </c>
    </row>
    <row r="12" spans="1:13">
      <c r="L12" s="33">
        <v>0.14583333333333301</v>
      </c>
    </row>
    <row r="13" spans="1:13">
      <c r="D13" s="43" t="str">
        <f>ЕСЛИ(СЧЁТЕСЛИ((F17:F49);"")=33;"Нет заданых расписаний";"Расписание задано для:")</f>
        <v>Расписание задано для:</v>
      </c>
      <c r="E13" s="44"/>
      <c r="F13" s="35" t="s">
        <v>68</v>
      </c>
      <c r="G13" s="37" t="s">
        <v>107</v>
      </c>
      <c r="I13" s="9"/>
      <c r="L13" s="33">
        <v>0.16666666666666699</v>
      </c>
    </row>
    <row r="14" spans="1:13">
      <c r="L14" s="33">
        <v>0.1875</v>
      </c>
    </row>
    <row r="15" spans="1:13" hidden="1">
      <c r="A15" s="8" t="s">
        <v>123</v>
      </c>
      <c r="B15" s="8"/>
      <c r="C15" s="14"/>
      <c r="G15" s="31"/>
      <c r="L15" s="33">
        <v>0.20833333333333301</v>
      </c>
    </row>
    <row r="16" spans="1:13" hidden="1">
      <c r="A16" s="8" t="s">
        <v>124</v>
      </c>
      <c r="B16" s="8"/>
      <c r="C16" s="14"/>
      <c r="G16" s="31"/>
      <c r="L16" s="33">
        <v>0.22916666666666699</v>
      </c>
    </row>
    <row r="17" spans="1:12" ht="15" hidden="1" customHeight="1">
      <c r="A17" s="28" t="s">
        <v>14</v>
      </c>
      <c r="B17" s="8" t="s">
        <v>37</v>
      </c>
      <c r="C17" s="14"/>
      <c r="F17" s="9" t="str">
        <f>ЕСЛИ(СУММ(C54:J60)&gt;0;B53;"")</f>
        <v/>
      </c>
      <c r="G17" s="31" t="str">
        <f t="array" aca="1" ref="G17"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ПВ-1.6</v>
      </c>
      <c r="L17" s="33">
        <v>0.25</v>
      </c>
    </row>
    <row r="18" spans="1:12" hidden="1">
      <c r="A18" s="2" t="s">
        <v>34</v>
      </c>
      <c r="B18" s="8" t="s">
        <v>38</v>
      </c>
      <c r="C18" s="14"/>
      <c r="F18" s="9" t="str">
        <f>ЕСЛИ(СУММ(C64:J70)&gt;0;B63;"")</f>
        <v/>
      </c>
      <c r="G18" s="31" t="str">
        <f t="array" aca="1" ref="G18"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П-1.9</v>
      </c>
      <c r="L18" s="33">
        <v>0.27083333333333298</v>
      </c>
    </row>
    <row r="19" spans="1:12" hidden="1">
      <c r="A19" s="2" t="s">
        <v>66</v>
      </c>
      <c r="B19" s="8" t="s">
        <v>46</v>
      </c>
      <c r="C19" s="14"/>
      <c r="F19" s="9" t="str">
        <f>ЕСЛИ(СУММ(C74:J80)&gt;0;B73;"")</f>
        <v/>
      </c>
      <c r="G19" s="31" t="str">
        <f t="array" aca="1" ref="G19"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П-1.11</v>
      </c>
      <c r="L19" s="33">
        <v>0.29166666666666702</v>
      </c>
    </row>
    <row r="20" spans="1:12" hidden="1">
      <c r="A20" s="2" t="s">
        <v>67</v>
      </c>
      <c r="B20" s="8" t="s">
        <v>47</v>
      </c>
      <c r="C20" s="14"/>
      <c r="F20" s="9" t="str">
        <f>ЕСЛИ(СУММ(C84:J90)&gt;0;B83;"")</f>
        <v/>
      </c>
      <c r="G20" s="31" t="str">
        <f t="array" aca="1" ref="G20"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ПВ-2.3</v>
      </c>
      <c r="L20" s="33">
        <v>0.3125</v>
      </c>
    </row>
    <row r="21" spans="1:12" hidden="1">
      <c r="A21" s="2" t="s">
        <v>68</v>
      </c>
      <c r="B21" s="8" t="s">
        <v>45</v>
      </c>
      <c r="C21" s="14"/>
      <c r="F21" s="9" t="str">
        <f>ЕСЛИ(СУММ(C94:J100)&gt;0;B93;"")</f>
        <v>ПВ-1.6</v>
      </c>
      <c r="G21" s="31" t="str">
        <f t="array" aca="1" ref="G21"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ПВ-2.4</v>
      </c>
      <c r="L21" s="33">
        <v>0.33333333333333298</v>
      </c>
    </row>
    <row r="22" spans="1:12" hidden="1">
      <c r="A22" s="2" t="s">
        <v>69</v>
      </c>
      <c r="B22" s="8" t="s">
        <v>44</v>
      </c>
      <c r="C22" s="14"/>
      <c r="F22" s="9" t="str">
        <f>ЕСЛИ(СУММ(C104:J110)&gt;0;B103;"")</f>
        <v/>
      </c>
      <c r="G22" s="31" t="str">
        <f t="array" aca="1" ref="G22"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ПВ-2.9</v>
      </c>
      <c r="L22" s="33">
        <v>0.35416666666666702</v>
      </c>
    </row>
    <row r="23" spans="1:12" hidden="1">
      <c r="A23" s="25" t="s">
        <v>16</v>
      </c>
      <c r="B23" s="8" t="s">
        <v>57</v>
      </c>
      <c r="C23" s="14"/>
      <c r="F23" s="9" t="str">
        <f>ЕСЛИ(СУММ(C114:J120)&gt;0;B113;"")</f>
        <v/>
      </c>
      <c r="G23" s="31" t="str">
        <f t="array" aca="1" ref="G23"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ПВ-2.13</v>
      </c>
      <c r="L23" s="33">
        <v>0.375</v>
      </c>
    </row>
    <row r="24" spans="1:12" hidden="1">
      <c r="A24" s="2" t="s">
        <v>17</v>
      </c>
      <c r="B24" s="8" t="s">
        <v>43</v>
      </c>
      <c r="C24" s="14"/>
      <c r="F24" s="9" t="str">
        <f>ЕСЛИ(СУММ(C124:J130)&gt;0;B123;"")</f>
        <v>П-1.9</v>
      </c>
      <c r="G24" s="31" t="str">
        <f t="array" aca="1" ref="G24"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П-2.21</v>
      </c>
      <c r="L24" s="33">
        <v>0.39583333333333298</v>
      </c>
    </row>
    <row r="25" spans="1:12" hidden="1">
      <c r="A25" s="2" t="s">
        <v>18</v>
      </c>
      <c r="B25" s="8" t="s">
        <v>48</v>
      </c>
      <c r="C25" s="14"/>
      <c r="F25" s="9" t="str">
        <f>ЕСЛИ(СУММ(C134:J140)&gt;0;B133;"")</f>
        <v/>
      </c>
      <c r="G25" s="31" t="str">
        <f t="array" aca="1" ref="G25"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Бассейн</v>
      </c>
      <c r="L25" s="33">
        <v>0.41666666666666702</v>
      </c>
    </row>
    <row r="26" spans="1:12" hidden="1">
      <c r="A26" s="2" t="s">
        <v>19</v>
      </c>
      <c r="B26" s="8" t="s">
        <v>58</v>
      </c>
      <c r="C26" s="14"/>
      <c r="F26" s="9" t="str">
        <f>ЕСЛИ(СУММ(C144:J150)&gt;0;B143;"")</f>
        <v>П-1.11</v>
      </c>
      <c r="G26" s="31" t="str">
        <f t="array" aca="1" ref="G26"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26" s="33">
        <v>0.4375</v>
      </c>
    </row>
    <row r="27" spans="1:12" hidden="1">
      <c r="A27" s="2" t="s">
        <v>15</v>
      </c>
      <c r="B27" s="8" t="s">
        <v>39</v>
      </c>
      <c r="C27" s="14"/>
      <c r="F27" s="9" t="str">
        <f>ЕСЛИ(СУММ(C154:J160)&gt;0;B153;"")</f>
        <v/>
      </c>
      <c r="G27" s="31" t="str">
        <f t="array" aca="1" ref="G27"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27" s="33">
        <v>0.45833333333333298</v>
      </c>
    </row>
    <row r="28" spans="1:12" hidden="1">
      <c r="A28" s="2" t="s">
        <v>24</v>
      </c>
      <c r="B28" s="8" t="s">
        <v>51</v>
      </c>
      <c r="C28" s="14"/>
      <c r="F28" s="9" t="str">
        <f>ЕСЛИ(СУММ(C164:J170)&gt;0;B163;"")</f>
        <v>ПВ-2.3</v>
      </c>
      <c r="G28" s="31" t="str">
        <f t="array" aca="1" ref="G28"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28" s="33">
        <v>0.47916666666666702</v>
      </c>
    </row>
    <row r="29" spans="1:12" hidden="1">
      <c r="A29" s="2" t="s">
        <v>25</v>
      </c>
      <c r="B29" s="8" t="s">
        <v>50</v>
      </c>
      <c r="C29" s="14"/>
      <c r="F29" s="9" t="str">
        <f>ЕСЛИ(СУММ(C174:J180)&gt;0;B173;"")</f>
        <v>ПВ-2.4</v>
      </c>
      <c r="G29" s="31" t="str">
        <f t="array" aca="1" ref="G29"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29" s="33">
        <v>0.5</v>
      </c>
    </row>
    <row r="30" spans="1:12" hidden="1">
      <c r="A30" s="2" t="s">
        <v>26</v>
      </c>
      <c r="B30" s="8" t="s">
        <v>40</v>
      </c>
      <c r="C30" s="14"/>
      <c r="F30" s="9" t="str">
        <f>ЕСЛИ(СУММ(C180:J184)&gt;0;B173;"")</f>
        <v/>
      </c>
      <c r="G30" s="31" t="str">
        <f t="array" aca="1" ref="G30"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0" s="33">
        <v>0.52083333333333304</v>
      </c>
    </row>
    <row r="31" spans="1:12" hidden="1">
      <c r="A31" s="2" t="s">
        <v>27</v>
      </c>
      <c r="B31" s="8" t="s">
        <v>41</v>
      </c>
      <c r="C31" s="14"/>
      <c r="F31" s="9" t="str">
        <f>ЕСЛИ(СУММ(C194:J200)&gt;0;B193;"")</f>
        <v/>
      </c>
      <c r="G31" s="31" t="str">
        <f t="array" aca="1" ref="G31"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1" s="33">
        <v>0.54166666666666696</v>
      </c>
    </row>
    <row r="32" spans="1:12" hidden="1">
      <c r="A32" s="2" t="s">
        <v>0</v>
      </c>
      <c r="B32" s="8" t="s">
        <v>42</v>
      </c>
      <c r="C32" s="14"/>
      <c r="F32" s="9" t="str">
        <f>ЕСЛИ(СУММ(C204:J210)&gt;0;B203;"")</f>
        <v/>
      </c>
      <c r="G32" s="31" t="str">
        <f t="array" aca="1" ref="G32"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2" s="33">
        <v>0.5625</v>
      </c>
    </row>
    <row r="33" spans="1:12" hidden="1">
      <c r="A33" s="2" t="s">
        <v>1</v>
      </c>
      <c r="B33" s="8" t="s">
        <v>42</v>
      </c>
      <c r="C33" s="14"/>
      <c r="F33" s="9" t="str">
        <f>ЕСЛИ(СУММ(C214:J220)&gt;0;B213;"")</f>
        <v/>
      </c>
      <c r="G33" s="31" t="str">
        <f t="array" aca="1" ref="G33"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3" s="33">
        <v>0.58333333333333304</v>
      </c>
    </row>
    <row r="34" spans="1:12" hidden="1">
      <c r="A34" s="2" t="s">
        <v>2</v>
      </c>
      <c r="B34" s="8" t="s">
        <v>61</v>
      </c>
      <c r="C34" s="14"/>
      <c r="F34" s="9" t="str">
        <f>ЕСЛИ(СУММ(C224:J230)&gt;0;B223;"")</f>
        <v>ПВ-2.9</v>
      </c>
      <c r="G34" s="31" t="str">
        <f t="array" aca="1" ref="G34"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4" s="33">
        <v>0.60416666666666696</v>
      </c>
    </row>
    <row r="35" spans="1:12" hidden="1">
      <c r="A35" s="2" t="s">
        <v>4</v>
      </c>
      <c r="B35" s="8" t="s">
        <v>59</v>
      </c>
      <c r="C35" s="14"/>
      <c r="F35" s="9" t="str">
        <f>ЕСЛИ(СУММ(C234:J240)&gt;0;B233;"")</f>
        <v/>
      </c>
      <c r="G35" s="31" t="str">
        <f t="array" aca="1" ref="G35"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5" s="33">
        <v>0.625</v>
      </c>
    </row>
    <row r="36" spans="1:12" hidden="1">
      <c r="A36" s="2" t="s">
        <v>28</v>
      </c>
      <c r="B36" s="8" t="s">
        <v>52</v>
      </c>
      <c r="C36" s="14"/>
      <c r="F36" s="9" t="str">
        <f>ЕСЛИ(СУММ(C244:J250)&gt;0;B243;"")</f>
        <v/>
      </c>
      <c r="G36" s="31" t="str">
        <f t="array" aca="1" ref="G36"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6" s="33">
        <v>0.64583333333333304</v>
      </c>
    </row>
    <row r="37" spans="1:12" hidden="1">
      <c r="A37" s="2" t="s">
        <v>117</v>
      </c>
      <c r="B37" s="8" t="s">
        <v>53</v>
      </c>
      <c r="C37" s="14"/>
      <c r="F37" s="9" t="str">
        <f>ЕСЛИ(СУММ(C254:J260)&gt;0;B253;"")</f>
        <v/>
      </c>
      <c r="G37" s="31" t="str">
        <f t="array" aca="1" ref="G37"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7" s="33">
        <v>0.66666666666666696</v>
      </c>
    </row>
    <row r="38" spans="1:12" hidden="1">
      <c r="A38" s="2" t="s">
        <v>29</v>
      </c>
      <c r="B38" s="8" t="s">
        <v>54</v>
      </c>
      <c r="C38" s="14"/>
      <c r="F38" s="9" t="str">
        <f>ЕСЛИ(СУММ(C264:J270)&gt;0;B263;"")</f>
        <v>ПВ-2.13</v>
      </c>
      <c r="G38" s="31" t="str">
        <f t="array" aca="1" ref="G38"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8" s="33">
        <v>0.6875</v>
      </c>
    </row>
    <row r="39" spans="1:12" hidden="1">
      <c r="A39" s="2" t="s">
        <v>30</v>
      </c>
      <c r="B39" s="8" t="s">
        <v>56</v>
      </c>
      <c r="C39" s="14"/>
      <c r="F39" s="9" t="str">
        <f>ЕСЛИ(СУММ(C274:J280)&gt;0;B273;"")</f>
        <v/>
      </c>
      <c r="G39" s="31" t="str">
        <f t="array" aca="1" ref="G39"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39" s="33">
        <v>0.70833333333333304</v>
      </c>
    </row>
    <row r="40" spans="1:12" hidden="1">
      <c r="A40" s="2" t="s">
        <v>31</v>
      </c>
      <c r="B40" s="8" t="s">
        <v>49</v>
      </c>
      <c r="C40" s="14"/>
      <c r="F40" s="9" t="str">
        <f>ЕСЛИ(СУММ(C284:J290)&gt;0;B283;"")</f>
        <v/>
      </c>
      <c r="G40" s="31" t="str">
        <f t="array" aca="1" ref="G40"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0" s="33">
        <v>0.72916666666666696</v>
      </c>
    </row>
    <row r="41" spans="1:12" hidden="1">
      <c r="A41" s="2" t="s">
        <v>20</v>
      </c>
      <c r="B41" s="8" t="s">
        <v>62</v>
      </c>
      <c r="C41" s="14"/>
      <c r="F41" s="9" t="str">
        <f>ЕСЛИ(СУММ(C294:J300)&gt;0;B293;"")</f>
        <v/>
      </c>
      <c r="G41" s="31" t="str">
        <f t="array" aca="1" ref="G41"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1" s="33">
        <v>0.75</v>
      </c>
    </row>
    <row r="42" spans="1:12" hidden="1">
      <c r="A42" s="2" t="s">
        <v>21</v>
      </c>
      <c r="B42" s="8" t="s">
        <v>63</v>
      </c>
      <c r="C42" s="14"/>
      <c r="F42" s="9" t="str">
        <f>ЕСЛИ(СУММ(C304:J310)&gt;0;B303;"")</f>
        <v/>
      </c>
      <c r="G42" s="31" t="str">
        <f t="array" aca="1" ref="G42"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2" s="33">
        <v>0.77083333333333304</v>
      </c>
    </row>
    <row r="43" spans="1:12" hidden="1">
      <c r="A43" s="2" t="s">
        <v>22</v>
      </c>
      <c r="B43" s="8" t="s">
        <v>55</v>
      </c>
      <c r="C43" s="14"/>
      <c r="F43" s="9" t="str">
        <f>ЕСЛИ(СУММ(C314:J320)&gt;0;B313;"")</f>
        <v/>
      </c>
      <c r="G43" s="31" t="str">
        <f t="array" aca="1" ref="G43"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3" s="33">
        <v>0.79166666666666696</v>
      </c>
    </row>
    <row r="44" spans="1:12" hidden="1">
      <c r="A44" s="2" t="s">
        <v>23</v>
      </c>
      <c r="B44" s="8" t="s">
        <v>60</v>
      </c>
      <c r="C44" s="14"/>
      <c r="F44" s="9" t="str">
        <f>ЕСЛИ(СУММ(C324:J330)&gt;0;B323;"")</f>
        <v>П-2.21</v>
      </c>
      <c r="G44" s="31" t="str">
        <f t="array" aca="1" ref="G44"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4" s="33">
        <v>0.8125</v>
      </c>
    </row>
    <row r="45" spans="1:12" hidden="1">
      <c r="A45" s="2" t="s">
        <v>32</v>
      </c>
      <c r="B45" s="8" t="s">
        <v>64</v>
      </c>
      <c r="C45" s="14"/>
      <c r="F45" s="9" t="str">
        <f>ЕСЛИ(СУММ(C334:J340)&gt;0;B333;"")</f>
        <v/>
      </c>
      <c r="G45" s="31" t="str">
        <f t="array" aca="1" ref="G45"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5" s="33">
        <v>0.83333333333333304</v>
      </c>
    </row>
    <row r="46" spans="1:12" hidden="1">
      <c r="A46" s="2" t="s">
        <v>33</v>
      </c>
      <c r="B46" s="8" t="s">
        <v>65</v>
      </c>
      <c r="C46" s="14"/>
      <c r="F46" s="9" t="str">
        <f>ЕСЛИ(СУММ(C344:J350)&gt;0;B343;"")</f>
        <v/>
      </c>
      <c r="G46" s="31" t="str">
        <f t="array" aca="1" ref="G46"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6" s="33">
        <v>0.85416666666666696</v>
      </c>
    </row>
    <row r="47" spans="1:12" hidden="1">
      <c r="A47" s="2" t="s">
        <v>35</v>
      </c>
      <c r="B47" s="8" t="s">
        <v>43</v>
      </c>
      <c r="C47" s="14"/>
      <c r="F47" s="9" t="str">
        <f>ЕСЛИ(СУММ(C354:J360)&gt;0;B353;"")</f>
        <v/>
      </c>
      <c r="G47" s="31" t="str">
        <f t="array" aca="1" ref="G47"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L47" s="33">
        <v>0.875</v>
      </c>
    </row>
    <row r="48" spans="1:12" s="8" customFormat="1" hidden="1">
      <c r="A48" s="8" t="s">
        <v>118</v>
      </c>
      <c r="B48" s="8" t="s">
        <v>58</v>
      </c>
      <c r="C48" s="14"/>
      <c r="E48" s="9"/>
      <c r="F48" s="9" t="str">
        <f>ЕСЛИ(СУММ(C364:J370)&gt;0;B363;"")</f>
        <v/>
      </c>
      <c r="G48" s="31" t="str">
        <f t="array" aca="1" ref="G48"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J48" s="23"/>
      <c r="L48" s="33">
        <v>0.89583333333333304</v>
      </c>
    </row>
    <row r="49" spans="1:12" s="8" customFormat="1" hidden="1">
      <c r="A49" s="8" t="s">
        <v>104</v>
      </c>
      <c r="B49" s="8" t="s">
        <v>106</v>
      </c>
      <c r="C49" s="14"/>
      <c r="E49" s="9"/>
      <c r="F49" s="9" t="str">
        <f>ЕСЛИ(СУММ(C374:J380)&gt;0;B373;"")</f>
        <v>Бассейн</v>
      </c>
      <c r="G49" s="31" t="str">
        <f t="array" aca="1" ref="G49" ca="1">ЕСЛИ(СТРОКА()-СТРОКА(НетПустых)+1&gt;ЧСТРОК(ЕстьПустые)-СЧИТАТЬПУСТОТЫ(ЕстьПустые);"";ДВССЫЛ(АДРЕС(НАИМЕНЬШИЙ((ЕСЛИ(ЕстьПустые&lt;&gt;"";СТРОКА(ЕстьПустые);СТРОКА()+ЧСТРОК(ЕстьПустые)));СТРОКА()-СТРОКА(НетПустых)+1);СТОЛБЕЦ(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t="s">
        <v>119</v>
      </c>
      <c r="D54" s="11"/>
      <c r="E54" s="12"/>
      <c r="F54" s="13"/>
      <c r="G54" s="11"/>
      <c r="H54" s="12"/>
      <c r="I54" s="13"/>
      <c r="J54" s="20" t="s">
        <v>119</v>
      </c>
      <c r="L54" s="33"/>
    </row>
    <row r="55" spans="1:12" s="8" customFormat="1" hidden="1">
      <c r="B55" s="10" t="s">
        <v>7</v>
      </c>
      <c r="C55" s="11" t="s">
        <v>119</v>
      </c>
      <c r="D55" s="11"/>
      <c r="E55" s="12"/>
      <c r="F55" s="13"/>
      <c r="G55" s="11"/>
      <c r="H55" s="12"/>
      <c r="I55" s="13"/>
      <c r="J55" s="20" t="s">
        <v>119</v>
      </c>
      <c r="L55" s="33"/>
    </row>
    <row r="56" spans="1:12" s="8" customFormat="1" hidden="1">
      <c r="B56" s="10" t="s">
        <v>9</v>
      </c>
      <c r="C56" s="11" t="s">
        <v>119</v>
      </c>
      <c r="D56" s="11"/>
      <c r="E56" s="12"/>
      <c r="F56" s="13"/>
      <c r="G56" s="11"/>
      <c r="H56" s="12"/>
      <c r="I56" s="13"/>
      <c r="J56" s="20" t="s">
        <v>119</v>
      </c>
      <c r="L56" s="33"/>
    </row>
    <row r="57" spans="1:12" s="8" customFormat="1" hidden="1">
      <c r="B57" s="10" t="s">
        <v>10</v>
      </c>
      <c r="C57" s="11" t="s">
        <v>119</v>
      </c>
      <c r="D57" s="11"/>
      <c r="E57" s="12"/>
      <c r="F57" s="13"/>
      <c r="G57" s="11"/>
      <c r="H57" s="12"/>
      <c r="I57" s="13"/>
      <c r="J57" s="20" t="s">
        <v>119</v>
      </c>
      <c r="L57" s="33"/>
    </row>
    <row r="58" spans="1:12" s="8" customFormat="1" hidden="1">
      <c r="B58" s="10" t="s">
        <v>13</v>
      </c>
      <c r="C58" s="11" t="s">
        <v>119</v>
      </c>
      <c r="D58" s="11"/>
      <c r="E58" s="12"/>
      <c r="F58" s="13"/>
      <c r="G58" s="11"/>
      <c r="H58" s="12"/>
      <c r="I58" s="13"/>
      <c r="J58" s="20" t="s">
        <v>119</v>
      </c>
      <c r="L58" s="33"/>
    </row>
    <row r="59" spans="1:12" s="8" customFormat="1" hidden="1">
      <c r="B59" s="10" t="s">
        <v>12</v>
      </c>
      <c r="C59" s="11" t="s">
        <v>119</v>
      </c>
      <c r="D59" s="11"/>
      <c r="E59" s="12"/>
      <c r="F59" s="13"/>
      <c r="G59" s="11"/>
      <c r="H59" s="12"/>
      <c r="I59" s="13"/>
      <c r="J59" s="20" t="s">
        <v>119</v>
      </c>
      <c r="L59" s="33"/>
    </row>
    <row r="60" spans="1:12" s="8" customFormat="1" hidden="1">
      <c r="B60" s="10" t="s">
        <v>11</v>
      </c>
      <c r="C60" s="11" t="s">
        <v>119</v>
      </c>
      <c r="D60" s="11"/>
      <c r="E60" s="12"/>
      <c r="F60" s="13"/>
      <c r="G60" s="11"/>
      <c r="H60" s="12"/>
      <c r="I60" s="13"/>
      <c r="J60" s="20" t="s">
        <v>119</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c r="D64" s="14"/>
      <c r="E64" s="15"/>
      <c r="F64" s="15"/>
      <c r="G64" s="14"/>
      <c r="H64" s="15"/>
      <c r="I64" s="15"/>
      <c r="J64" s="24"/>
      <c r="L64" s="33"/>
    </row>
    <row r="65" spans="2:12" s="8" customFormat="1" hidden="1">
      <c r="B65" s="10" t="s">
        <v>7</v>
      </c>
      <c r="C65" s="11"/>
      <c r="D65" s="11"/>
      <c r="E65" s="12"/>
      <c r="F65" s="12"/>
      <c r="G65" s="11"/>
      <c r="H65" s="12"/>
      <c r="I65" s="12"/>
      <c r="J65" s="20"/>
      <c r="L65" s="33"/>
    </row>
    <row r="66" spans="2:12" s="8" customFormat="1" hidden="1">
      <c r="B66" s="10" t="s">
        <v>9</v>
      </c>
      <c r="C66" s="11"/>
      <c r="D66" s="11"/>
      <c r="E66" s="12"/>
      <c r="F66" s="12"/>
      <c r="G66" s="11"/>
      <c r="H66" s="12"/>
      <c r="I66" s="12"/>
      <c r="J66" s="20"/>
      <c r="L66" s="33"/>
    </row>
    <row r="67" spans="2:12" s="8" customFormat="1" hidden="1">
      <c r="B67" s="10" t="s">
        <v>10</v>
      </c>
      <c r="C67" s="11"/>
      <c r="D67" s="11"/>
      <c r="E67" s="12"/>
      <c r="F67" s="12"/>
      <c r="G67" s="11"/>
      <c r="H67" s="12"/>
      <c r="I67" s="12"/>
      <c r="J67" s="20"/>
      <c r="L67" s="33"/>
    </row>
    <row r="68" spans="2:12" s="8" customFormat="1" hidden="1">
      <c r="B68" s="10" t="s">
        <v>13</v>
      </c>
      <c r="C68" s="11"/>
      <c r="D68" s="11"/>
      <c r="E68" s="12"/>
      <c r="F68" s="12"/>
      <c r="G68" s="11"/>
      <c r="H68" s="12"/>
      <c r="I68" s="12"/>
      <c r="J68" s="20"/>
      <c r="L68" s="33"/>
    </row>
    <row r="69" spans="2:12" s="8" customFormat="1" hidden="1">
      <c r="B69" s="10" t="s">
        <v>12</v>
      </c>
      <c r="C69" s="11"/>
      <c r="D69" s="11"/>
      <c r="E69" s="12"/>
      <c r="F69" s="12"/>
      <c r="G69" s="11"/>
      <c r="H69" s="12"/>
      <c r="I69" s="12"/>
      <c r="J69" s="20"/>
      <c r="L69" s="33"/>
    </row>
    <row r="70" spans="2:12" s="8" customFormat="1" hidden="1">
      <c r="B70" s="10" t="s">
        <v>11</v>
      </c>
      <c r="C70" s="11"/>
      <c r="D70" s="11"/>
      <c r="E70" s="12"/>
      <c r="F70" s="12"/>
      <c r="G70" s="11"/>
      <c r="H70" s="12"/>
      <c r="I70" s="12"/>
      <c r="J70" s="20"/>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t="s">
        <v>119</v>
      </c>
      <c r="D74" s="14"/>
      <c r="E74" s="15"/>
      <c r="F74" s="15"/>
      <c r="G74" s="14"/>
      <c r="H74" s="15"/>
      <c r="I74" s="15"/>
      <c r="J74" s="24" t="s">
        <v>119</v>
      </c>
      <c r="L74" s="33"/>
    </row>
    <row r="75" spans="2:12" s="8" customFormat="1" hidden="1">
      <c r="B75" s="10" t="s">
        <v>7</v>
      </c>
      <c r="C75" s="11" t="s">
        <v>119</v>
      </c>
      <c r="D75" s="11"/>
      <c r="E75" s="12"/>
      <c r="F75" s="12"/>
      <c r="G75" s="11"/>
      <c r="H75" s="12"/>
      <c r="I75" s="12"/>
      <c r="J75" s="20" t="s">
        <v>119</v>
      </c>
      <c r="L75" s="33"/>
    </row>
    <row r="76" spans="2:12" s="8" customFormat="1" hidden="1">
      <c r="B76" s="10" t="s">
        <v>9</v>
      </c>
      <c r="C76" s="11" t="s">
        <v>119</v>
      </c>
      <c r="D76" s="11"/>
      <c r="E76" s="12"/>
      <c r="F76" s="12"/>
      <c r="G76" s="11"/>
      <c r="H76" s="12"/>
      <c r="I76" s="12"/>
      <c r="J76" s="20" t="s">
        <v>119</v>
      </c>
      <c r="L76" s="33"/>
    </row>
    <row r="77" spans="2:12" s="8" customFormat="1" hidden="1">
      <c r="B77" s="10" t="s">
        <v>10</v>
      </c>
      <c r="C77" s="11" t="s">
        <v>119</v>
      </c>
      <c r="D77" s="11"/>
      <c r="E77" s="12"/>
      <c r="F77" s="12"/>
      <c r="G77" s="11"/>
      <c r="H77" s="12"/>
      <c r="I77" s="12"/>
      <c r="J77" s="20" t="s">
        <v>119</v>
      </c>
      <c r="L77" s="33"/>
    </row>
    <row r="78" spans="2:12" s="8" customFormat="1" hidden="1">
      <c r="B78" s="10" t="s">
        <v>13</v>
      </c>
      <c r="C78" s="11" t="s">
        <v>119</v>
      </c>
      <c r="D78" s="11"/>
      <c r="E78" s="12"/>
      <c r="F78" s="12"/>
      <c r="G78" s="11"/>
      <c r="H78" s="12"/>
      <c r="I78" s="12"/>
      <c r="J78" s="20" t="s">
        <v>119</v>
      </c>
      <c r="L78" s="33"/>
    </row>
    <row r="79" spans="2:12" s="8" customFormat="1" hidden="1">
      <c r="B79" s="10" t="s">
        <v>12</v>
      </c>
      <c r="C79" s="11" t="s">
        <v>119</v>
      </c>
      <c r="D79" s="11"/>
      <c r="E79" s="12"/>
      <c r="F79" s="12"/>
      <c r="G79" s="11"/>
      <c r="H79" s="12"/>
      <c r="I79" s="12"/>
      <c r="J79" s="20" t="s">
        <v>119</v>
      </c>
      <c r="L79" s="33"/>
    </row>
    <row r="80" spans="2:12" s="8" customFormat="1" hidden="1">
      <c r="B80" s="10" t="s">
        <v>11</v>
      </c>
      <c r="C80" s="11" t="s">
        <v>119</v>
      </c>
      <c r="D80" s="11"/>
      <c r="E80" s="12"/>
      <c r="F80" s="12"/>
      <c r="G80" s="11"/>
      <c r="H80" s="12"/>
      <c r="I80" s="12"/>
      <c r="J80" s="20" t="s">
        <v>119</v>
      </c>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t="s">
        <v>119</v>
      </c>
      <c r="D94" s="14"/>
      <c r="E94" s="15"/>
      <c r="F94" s="15"/>
      <c r="G94" s="14" t="s">
        <v>123</v>
      </c>
      <c r="H94" s="15">
        <v>0.35416666666666702</v>
      </c>
      <c r="I94" s="15">
        <v>0.97916666666666696</v>
      </c>
      <c r="J94" s="24">
        <v>1</v>
      </c>
      <c r="L94" s="33"/>
    </row>
    <row r="95" spans="2:12" s="8" customFormat="1" hidden="1">
      <c r="B95" s="10" t="s">
        <v>7</v>
      </c>
      <c r="C95" s="11" t="s">
        <v>119</v>
      </c>
      <c r="D95" s="11"/>
      <c r="E95" s="12"/>
      <c r="F95" s="12"/>
      <c r="G95" s="11"/>
      <c r="H95" s="12"/>
      <c r="I95" s="12"/>
      <c r="J95" s="20" t="s">
        <v>119</v>
      </c>
      <c r="L95" s="33"/>
    </row>
    <row r="96" spans="2:12" s="8" customFormat="1" hidden="1">
      <c r="B96" s="10" t="s">
        <v>9</v>
      </c>
      <c r="C96" s="11" t="s">
        <v>119</v>
      </c>
      <c r="D96" s="11"/>
      <c r="E96" s="12"/>
      <c r="F96" s="12"/>
      <c r="G96" s="11"/>
      <c r="H96" s="12"/>
      <c r="I96" s="12"/>
      <c r="J96" s="20" t="s">
        <v>119</v>
      </c>
      <c r="L96" s="33"/>
    </row>
    <row r="97" spans="2:12" s="8" customFormat="1" hidden="1">
      <c r="B97" s="10" t="s">
        <v>10</v>
      </c>
      <c r="C97" s="11" t="s">
        <v>119</v>
      </c>
      <c r="D97" s="11"/>
      <c r="E97" s="12"/>
      <c r="F97" s="12"/>
      <c r="G97" s="11"/>
      <c r="H97" s="12"/>
      <c r="I97" s="12"/>
      <c r="J97" s="20" t="s">
        <v>119</v>
      </c>
      <c r="L97" s="33"/>
    </row>
    <row r="98" spans="2:12" s="8" customFormat="1" hidden="1">
      <c r="B98" s="10" t="s">
        <v>13</v>
      </c>
      <c r="C98" s="11" t="s">
        <v>119</v>
      </c>
      <c r="D98" s="11"/>
      <c r="E98" s="12"/>
      <c r="F98" s="12"/>
      <c r="G98" s="11"/>
      <c r="H98" s="12"/>
      <c r="I98" s="12"/>
      <c r="J98" s="20" t="s">
        <v>119</v>
      </c>
      <c r="L98" s="33"/>
    </row>
    <row r="99" spans="2:12" s="8" customFormat="1" hidden="1">
      <c r="B99" s="10" t="s">
        <v>12</v>
      </c>
      <c r="C99" s="11" t="s">
        <v>119</v>
      </c>
      <c r="D99" s="11"/>
      <c r="E99" s="12"/>
      <c r="F99" s="12"/>
      <c r="G99" s="11"/>
      <c r="H99" s="12"/>
      <c r="I99" s="12"/>
      <c r="J99" s="20" t="s">
        <v>119</v>
      </c>
      <c r="L99" s="33"/>
    </row>
    <row r="100" spans="2:12" s="8" customFormat="1" hidden="1">
      <c r="B100" s="10" t="s">
        <v>11</v>
      </c>
      <c r="C100" s="11" t="s">
        <v>119</v>
      </c>
      <c r="D100" s="11"/>
      <c r="E100" s="12"/>
      <c r="F100" s="12"/>
      <c r="G100" s="11"/>
      <c r="H100" s="12"/>
      <c r="I100" s="12"/>
      <c r="J100" s="20" t="s">
        <v>119</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t="s">
        <v>119</v>
      </c>
      <c r="D124" s="14"/>
      <c r="E124" s="15"/>
      <c r="F124" s="15"/>
      <c r="G124" s="14" t="s">
        <v>123</v>
      </c>
      <c r="H124" s="15">
        <v>0.35416666666666702</v>
      </c>
      <c r="I124" s="15">
        <v>0.97916666666666696</v>
      </c>
      <c r="J124" s="24">
        <v>1</v>
      </c>
    </row>
    <row r="125" spans="2:10" s="8" customFormat="1" hidden="1">
      <c r="B125" s="10" t="s">
        <v>7</v>
      </c>
      <c r="C125" s="11" t="s">
        <v>119</v>
      </c>
      <c r="D125" s="11"/>
      <c r="E125" s="12"/>
      <c r="F125" s="12"/>
      <c r="G125" s="11"/>
      <c r="H125" s="12"/>
      <c r="I125" s="12"/>
      <c r="J125" s="20" t="s">
        <v>119</v>
      </c>
    </row>
    <row r="126" spans="2:10" s="8" customFormat="1" hidden="1">
      <c r="B126" s="10" t="s">
        <v>9</v>
      </c>
      <c r="C126" s="11" t="s">
        <v>119</v>
      </c>
      <c r="D126" s="11"/>
      <c r="E126" s="12"/>
      <c r="F126" s="12"/>
      <c r="G126" s="11"/>
      <c r="H126" s="12"/>
      <c r="I126" s="12"/>
      <c r="J126" s="20" t="s">
        <v>119</v>
      </c>
    </row>
    <row r="127" spans="2:10" s="8" customFormat="1" hidden="1">
      <c r="B127" s="10" t="s">
        <v>10</v>
      </c>
      <c r="C127" s="11" t="s">
        <v>119</v>
      </c>
      <c r="D127" s="11"/>
      <c r="E127" s="12"/>
      <c r="F127" s="12"/>
      <c r="G127" s="11"/>
      <c r="H127" s="12"/>
      <c r="I127" s="12"/>
      <c r="J127" s="20" t="s">
        <v>119</v>
      </c>
    </row>
    <row r="128" spans="2:10" s="8" customFormat="1" hidden="1">
      <c r="B128" s="10" t="s">
        <v>13</v>
      </c>
      <c r="C128" s="11" t="s">
        <v>119</v>
      </c>
      <c r="D128" s="11"/>
      <c r="E128" s="12"/>
      <c r="F128" s="12"/>
      <c r="G128" s="11"/>
      <c r="H128" s="12"/>
      <c r="I128" s="12"/>
      <c r="J128" s="20" t="s">
        <v>119</v>
      </c>
    </row>
    <row r="129" spans="2:10" s="8" customFormat="1" hidden="1">
      <c r="B129" s="10" t="s">
        <v>12</v>
      </c>
      <c r="C129" s="11" t="s">
        <v>119</v>
      </c>
      <c r="D129" s="11"/>
      <c r="E129" s="12"/>
      <c r="F129" s="12"/>
      <c r="G129" s="11"/>
      <c r="H129" s="12"/>
      <c r="I129" s="12"/>
      <c r="J129" s="20" t="s">
        <v>119</v>
      </c>
    </row>
    <row r="130" spans="2:10" s="8" customFormat="1" hidden="1">
      <c r="B130" s="10" t="s">
        <v>11</v>
      </c>
      <c r="C130" s="11" t="s">
        <v>119</v>
      </c>
      <c r="D130" s="11"/>
      <c r="E130" s="12"/>
      <c r="F130" s="12"/>
      <c r="G130" s="11"/>
      <c r="H130" s="12"/>
      <c r="I130" s="12"/>
      <c r="J130" s="20" t="s">
        <v>119</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t="s">
        <v>119</v>
      </c>
      <c r="D144" s="11"/>
      <c r="E144" s="12"/>
      <c r="F144" s="13"/>
      <c r="G144" s="11" t="s">
        <v>123</v>
      </c>
      <c r="H144" s="12">
        <v>0.35416666666666702</v>
      </c>
      <c r="I144" s="13">
        <v>0.97916666666666696</v>
      </c>
      <c r="J144" s="20">
        <v>1</v>
      </c>
    </row>
    <row r="145" spans="2:10" s="8" customFormat="1" hidden="1">
      <c r="B145" s="10" t="s">
        <v>7</v>
      </c>
      <c r="C145" s="11" t="s">
        <v>119</v>
      </c>
      <c r="D145" s="11"/>
      <c r="E145" s="12"/>
      <c r="F145" s="13"/>
      <c r="G145" s="11"/>
      <c r="H145" s="12"/>
      <c r="I145" s="13"/>
      <c r="J145" s="20" t="s">
        <v>119</v>
      </c>
    </row>
    <row r="146" spans="2:10" s="8" customFormat="1" hidden="1">
      <c r="B146" s="10" t="s">
        <v>9</v>
      </c>
      <c r="C146" s="11" t="s">
        <v>119</v>
      </c>
      <c r="D146" s="11"/>
      <c r="E146" s="12"/>
      <c r="F146" s="13"/>
      <c r="G146" s="11"/>
      <c r="H146" s="12"/>
      <c r="I146" s="13"/>
      <c r="J146" s="20" t="s">
        <v>119</v>
      </c>
    </row>
    <row r="147" spans="2:10" s="8" customFormat="1" hidden="1">
      <c r="B147" s="10" t="s">
        <v>10</v>
      </c>
      <c r="C147" s="11" t="s">
        <v>119</v>
      </c>
      <c r="D147" s="11"/>
      <c r="E147" s="12"/>
      <c r="F147" s="13"/>
      <c r="G147" s="11"/>
      <c r="H147" s="12"/>
      <c r="I147" s="13"/>
      <c r="J147" s="20" t="s">
        <v>119</v>
      </c>
    </row>
    <row r="148" spans="2:10" s="8" customFormat="1" hidden="1">
      <c r="B148" s="10" t="s">
        <v>13</v>
      </c>
      <c r="C148" s="11" t="s">
        <v>119</v>
      </c>
      <c r="D148" s="11"/>
      <c r="E148" s="12"/>
      <c r="F148" s="13"/>
      <c r="G148" s="11"/>
      <c r="H148" s="12"/>
      <c r="I148" s="13"/>
      <c r="J148" s="20" t="s">
        <v>119</v>
      </c>
    </row>
    <row r="149" spans="2:10" s="8" customFormat="1" hidden="1">
      <c r="B149" s="10" t="s">
        <v>12</v>
      </c>
      <c r="C149" s="11" t="s">
        <v>119</v>
      </c>
      <c r="D149" s="11"/>
      <c r="E149" s="12"/>
      <c r="F149" s="13"/>
      <c r="G149" s="11"/>
      <c r="H149" s="12"/>
      <c r="I149" s="13"/>
      <c r="J149" s="20" t="s">
        <v>119</v>
      </c>
    </row>
    <row r="150" spans="2:10" s="8" customFormat="1" hidden="1">
      <c r="B150" s="10" t="s">
        <v>11</v>
      </c>
      <c r="C150" s="11" t="s">
        <v>119</v>
      </c>
      <c r="D150" s="11"/>
      <c r="E150" s="12"/>
      <c r="F150" s="13"/>
      <c r="G150" s="11"/>
      <c r="H150" s="12"/>
      <c r="I150" s="13"/>
      <c r="J150" s="20" t="s">
        <v>119</v>
      </c>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t="s">
        <v>119</v>
      </c>
      <c r="D164" s="14"/>
      <c r="E164" s="15"/>
      <c r="F164" s="15"/>
      <c r="G164" s="14" t="s">
        <v>123</v>
      </c>
      <c r="H164" s="15">
        <v>0.35416666666666702</v>
      </c>
      <c r="I164" s="15">
        <v>0.97916666666666696</v>
      </c>
      <c r="J164" s="24">
        <v>1</v>
      </c>
    </row>
    <row r="165" spans="2:10" s="8" customFormat="1" hidden="1">
      <c r="B165" s="10" t="s">
        <v>7</v>
      </c>
      <c r="C165" s="11" t="s">
        <v>119</v>
      </c>
      <c r="D165" s="11"/>
      <c r="E165" s="12"/>
      <c r="F165" s="12"/>
      <c r="G165" s="11"/>
      <c r="H165" s="12"/>
      <c r="I165" s="12"/>
      <c r="J165" s="20" t="s">
        <v>119</v>
      </c>
    </row>
    <row r="166" spans="2:10" s="8" customFormat="1" hidden="1">
      <c r="B166" s="10" t="s">
        <v>9</v>
      </c>
      <c r="C166" s="11" t="s">
        <v>119</v>
      </c>
      <c r="D166" s="11"/>
      <c r="E166" s="12"/>
      <c r="F166" s="12"/>
      <c r="G166" s="11"/>
      <c r="H166" s="12"/>
      <c r="I166" s="12"/>
      <c r="J166" s="20" t="s">
        <v>119</v>
      </c>
    </row>
    <row r="167" spans="2:10" s="8" customFormat="1" hidden="1">
      <c r="B167" s="10" t="s">
        <v>10</v>
      </c>
      <c r="C167" s="11" t="s">
        <v>119</v>
      </c>
      <c r="D167" s="11"/>
      <c r="E167" s="12"/>
      <c r="F167" s="12"/>
      <c r="G167" s="11"/>
      <c r="H167" s="12"/>
      <c r="I167" s="12"/>
      <c r="J167" s="20" t="s">
        <v>119</v>
      </c>
    </row>
    <row r="168" spans="2:10" s="8" customFormat="1" hidden="1">
      <c r="B168" s="10" t="s">
        <v>13</v>
      </c>
      <c r="C168" s="11" t="s">
        <v>119</v>
      </c>
      <c r="D168" s="11"/>
      <c r="E168" s="12"/>
      <c r="F168" s="12"/>
      <c r="G168" s="11"/>
      <c r="H168" s="12"/>
      <c r="I168" s="12"/>
      <c r="J168" s="20" t="s">
        <v>119</v>
      </c>
    </row>
    <row r="169" spans="2:10" s="8" customFormat="1" hidden="1">
      <c r="B169" s="10" t="s">
        <v>12</v>
      </c>
      <c r="C169" s="11" t="s">
        <v>119</v>
      </c>
      <c r="D169" s="11"/>
      <c r="E169" s="12"/>
      <c r="F169" s="12"/>
      <c r="G169" s="11"/>
      <c r="H169" s="12"/>
      <c r="I169" s="12"/>
      <c r="J169" s="20" t="s">
        <v>119</v>
      </c>
    </row>
    <row r="170" spans="2:10" s="8" customFormat="1" hidden="1">
      <c r="B170" s="10" t="s">
        <v>11</v>
      </c>
      <c r="C170" s="11" t="s">
        <v>119</v>
      </c>
      <c r="D170" s="11"/>
      <c r="E170" s="12"/>
      <c r="F170" s="12"/>
      <c r="G170" s="11"/>
      <c r="H170" s="12"/>
      <c r="I170" s="12"/>
      <c r="J170" s="20" t="s">
        <v>119</v>
      </c>
    </row>
    <row r="171" spans="2:10" hidden="1"/>
    <row r="172" spans="2:10" hidden="1"/>
    <row r="173" spans="2:10" s="8" customFormat="1" hidden="1">
      <c r="B173" s="8" t="s">
        <v>25</v>
      </c>
      <c r="C173" s="14"/>
      <c r="D173" s="17" t="s">
        <v>78</v>
      </c>
      <c r="G173" s="14"/>
      <c r="J173" s="23"/>
    </row>
    <row r="174" spans="2:10" s="8" customFormat="1" hidden="1">
      <c r="B174" s="10" t="s">
        <v>8</v>
      </c>
      <c r="C174" s="11" t="s">
        <v>119</v>
      </c>
      <c r="D174" s="11"/>
      <c r="E174" s="12"/>
      <c r="F174" s="13">
        <v>0.71944444444444444</v>
      </c>
      <c r="G174" s="11"/>
      <c r="H174" s="12"/>
      <c r="I174" s="13"/>
      <c r="J174" s="20" t="s">
        <v>119</v>
      </c>
    </row>
    <row r="175" spans="2:10" s="8" customFormat="1" hidden="1">
      <c r="B175" s="10" t="s">
        <v>7</v>
      </c>
      <c r="C175" s="11" t="s">
        <v>119</v>
      </c>
      <c r="D175" s="11"/>
      <c r="E175" s="12"/>
      <c r="F175" s="13"/>
      <c r="G175" s="11"/>
      <c r="H175" s="12"/>
      <c r="I175" s="13"/>
      <c r="J175" s="20" t="s">
        <v>119</v>
      </c>
    </row>
    <row r="176" spans="2:10" s="8" customFormat="1" hidden="1">
      <c r="B176" s="10" t="s">
        <v>9</v>
      </c>
      <c r="C176" s="11" t="s">
        <v>119</v>
      </c>
      <c r="D176" s="11"/>
      <c r="E176" s="12"/>
      <c r="F176" s="13"/>
      <c r="G176" s="11"/>
      <c r="H176" s="12"/>
      <c r="I176" s="13"/>
      <c r="J176" s="20" t="s">
        <v>119</v>
      </c>
    </row>
    <row r="177" spans="2:10" s="8" customFormat="1" hidden="1">
      <c r="B177" s="10" t="s">
        <v>10</v>
      </c>
      <c r="C177" s="11" t="s">
        <v>119</v>
      </c>
      <c r="D177" s="11"/>
      <c r="E177" s="12"/>
      <c r="F177" s="13"/>
      <c r="G177" s="11"/>
      <c r="H177" s="12"/>
      <c r="I177" s="13"/>
      <c r="J177" s="20" t="s">
        <v>119</v>
      </c>
    </row>
    <row r="178" spans="2:10" s="8" customFormat="1" hidden="1">
      <c r="B178" s="10" t="s">
        <v>13</v>
      </c>
      <c r="C178" s="11" t="s">
        <v>119</v>
      </c>
      <c r="D178" s="11"/>
      <c r="E178" s="12"/>
      <c r="F178" s="13"/>
      <c r="G178" s="11"/>
      <c r="H178" s="12"/>
      <c r="I178" s="13"/>
      <c r="J178" s="20" t="s">
        <v>119</v>
      </c>
    </row>
    <row r="179" spans="2:10" s="8" customFormat="1" hidden="1">
      <c r="B179" s="10" t="s">
        <v>12</v>
      </c>
      <c r="C179" s="11" t="s">
        <v>119</v>
      </c>
      <c r="D179" s="11"/>
      <c r="E179" s="12"/>
      <c r="F179" s="13"/>
      <c r="G179" s="11"/>
      <c r="H179" s="12"/>
      <c r="I179" s="13"/>
      <c r="J179" s="20" t="s">
        <v>119</v>
      </c>
    </row>
    <row r="180" spans="2:10" s="8" customFormat="1" hidden="1">
      <c r="B180" s="10" t="s">
        <v>11</v>
      </c>
      <c r="C180" s="11" t="s">
        <v>119</v>
      </c>
      <c r="D180" s="11"/>
      <c r="E180" s="12"/>
      <c r="F180" s="13"/>
      <c r="G180" s="11"/>
      <c r="H180" s="12"/>
      <c r="I180" s="13"/>
      <c r="J180" s="20" t="s">
        <v>119</v>
      </c>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t="s">
        <v>119</v>
      </c>
      <c r="D184" s="14"/>
      <c r="E184" s="15"/>
      <c r="F184" s="15"/>
      <c r="G184" s="14"/>
      <c r="H184" s="15"/>
      <c r="I184" s="15"/>
      <c r="J184" s="24" t="s">
        <v>119</v>
      </c>
    </row>
    <row r="185" spans="2:10" s="8" customFormat="1" hidden="1">
      <c r="B185" s="10" t="s">
        <v>7</v>
      </c>
      <c r="C185" s="11" t="s">
        <v>119</v>
      </c>
      <c r="D185" s="11"/>
      <c r="E185" s="12"/>
      <c r="F185" s="12"/>
      <c r="G185" s="11"/>
      <c r="H185" s="12"/>
      <c r="I185" s="12"/>
      <c r="J185" s="20" t="s">
        <v>119</v>
      </c>
    </row>
    <row r="186" spans="2:10" s="8" customFormat="1" hidden="1">
      <c r="B186" s="10" t="s">
        <v>9</v>
      </c>
      <c r="C186" s="11" t="s">
        <v>119</v>
      </c>
      <c r="D186" s="11"/>
      <c r="E186" s="12"/>
      <c r="F186" s="12"/>
      <c r="G186" s="11"/>
      <c r="H186" s="12"/>
      <c r="I186" s="12"/>
      <c r="J186" s="20" t="s">
        <v>119</v>
      </c>
    </row>
    <row r="187" spans="2:10" s="8" customFormat="1" hidden="1">
      <c r="B187" s="10" t="s">
        <v>10</v>
      </c>
      <c r="C187" s="11" t="s">
        <v>119</v>
      </c>
      <c r="D187" s="11"/>
      <c r="E187" s="12"/>
      <c r="F187" s="12"/>
      <c r="G187" s="11"/>
      <c r="H187" s="12"/>
      <c r="I187" s="12"/>
      <c r="J187" s="20" t="s">
        <v>119</v>
      </c>
    </row>
    <row r="188" spans="2:10" s="8" customFormat="1" hidden="1">
      <c r="B188" s="10" t="s">
        <v>13</v>
      </c>
      <c r="C188" s="11" t="s">
        <v>119</v>
      </c>
      <c r="D188" s="11"/>
      <c r="E188" s="12"/>
      <c r="F188" s="12"/>
      <c r="G188" s="11"/>
      <c r="H188" s="12"/>
      <c r="I188" s="12"/>
      <c r="J188" s="20" t="s">
        <v>119</v>
      </c>
    </row>
    <row r="189" spans="2:10" s="8" customFormat="1" hidden="1">
      <c r="B189" s="10" t="s">
        <v>12</v>
      </c>
      <c r="C189" s="11" t="s">
        <v>119</v>
      </c>
      <c r="D189" s="11"/>
      <c r="E189" s="12"/>
      <c r="F189" s="12"/>
      <c r="G189" s="11" t="s">
        <v>123</v>
      </c>
      <c r="H189" s="12">
        <v>0.4375</v>
      </c>
      <c r="I189" s="12">
        <v>0.83333333333333304</v>
      </c>
      <c r="J189" s="20">
        <v>1</v>
      </c>
    </row>
    <row r="190" spans="2:10" s="8" customFormat="1" hidden="1">
      <c r="B190" s="10" t="s">
        <v>11</v>
      </c>
      <c r="C190" s="11" t="s">
        <v>119</v>
      </c>
      <c r="D190" s="11"/>
      <c r="E190" s="12"/>
      <c r="F190" s="12"/>
      <c r="G190" s="11"/>
      <c r="H190" s="12"/>
      <c r="I190" s="12"/>
      <c r="J190" s="20" t="s">
        <v>119</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t="s">
        <v>119</v>
      </c>
      <c r="D194" s="14"/>
      <c r="E194" s="15"/>
      <c r="F194" s="15"/>
      <c r="G194" s="14"/>
      <c r="H194" s="15"/>
      <c r="I194" s="15"/>
      <c r="J194" s="24" t="s">
        <v>119</v>
      </c>
    </row>
    <row r="195" spans="2:10" s="8" customFormat="1" hidden="1">
      <c r="B195" s="10" t="s">
        <v>7</v>
      </c>
      <c r="C195" s="11" t="s">
        <v>119</v>
      </c>
      <c r="D195" s="11"/>
      <c r="E195" s="12"/>
      <c r="F195" s="12"/>
      <c r="G195" s="11"/>
      <c r="H195" s="12"/>
      <c r="I195" s="12"/>
      <c r="J195" s="20" t="s">
        <v>119</v>
      </c>
    </row>
    <row r="196" spans="2:10" s="8" customFormat="1" hidden="1">
      <c r="B196" s="10" t="s">
        <v>9</v>
      </c>
      <c r="C196" s="11" t="s">
        <v>119</v>
      </c>
      <c r="D196" s="11"/>
      <c r="E196" s="12"/>
      <c r="F196" s="12"/>
      <c r="G196" s="11"/>
      <c r="H196" s="12"/>
      <c r="I196" s="12"/>
      <c r="J196" s="20" t="s">
        <v>119</v>
      </c>
    </row>
    <row r="197" spans="2:10" s="8" customFormat="1" hidden="1">
      <c r="B197" s="10" t="s">
        <v>10</v>
      </c>
      <c r="C197" s="11" t="s">
        <v>119</v>
      </c>
      <c r="D197" s="11"/>
      <c r="E197" s="12"/>
      <c r="F197" s="12"/>
      <c r="G197" s="11"/>
      <c r="H197" s="12"/>
      <c r="I197" s="12"/>
      <c r="J197" s="20" t="s">
        <v>119</v>
      </c>
    </row>
    <row r="198" spans="2:10" s="8" customFormat="1" hidden="1">
      <c r="B198" s="10" t="s">
        <v>13</v>
      </c>
      <c r="C198" s="11" t="s">
        <v>119</v>
      </c>
      <c r="D198" s="11"/>
      <c r="E198" s="12"/>
      <c r="F198" s="12"/>
      <c r="G198" s="11"/>
      <c r="H198" s="12"/>
      <c r="I198" s="12"/>
      <c r="J198" s="20" t="s">
        <v>119</v>
      </c>
    </row>
    <row r="199" spans="2:10" s="8" customFormat="1" hidden="1">
      <c r="B199" s="10" t="s">
        <v>12</v>
      </c>
      <c r="C199" s="11" t="s">
        <v>119</v>
      </c>
      <c r="D199" s="11"/>
      <c r="E199" s="12"/>
      <c r="F199" s="12"/>
      <c r="G199" s="11"/>
      <c r="H199" s="12"/>
      <c r="I199" s="12"/>
      <c r="J199" s="20" t="s">
        <v>119</v>
      </c>
    </row>
    <row r="200" spans="2:10" s="8" customFormat="1" hidden="1">
      <c r="B200" s="10" t="s">
        <v>11</v>
      </c>
      <c r="C200" s="11" t="s">
        <v>119</v>
      </c>
      <c r="D200" s="11"/>
      <c r="E200" s="12"/>
      <c r="F200" s="12"/>
      <c r="G200" s="11"/>
      <c r="H200" s="12"/>
      <c r="I200" s="12"/>
      <c r="J200" s="20" t="s">
        <v>119</v>
      </c>
    </row>
    <row r="201" spans="2:10" hidden="1"/>
    <row r="202" spans="2:10" hidden="1"/>
    <row r="203" spans="2:10" s="8" customFormat="1" hidden="1">
      <c r="B203" s="8" t="s">
        <v>0</v>
      </c>
      <c r="C203" s="14"/>
      <c r="D203" s="27" t="s">
        <v>72</v>
      </c>
      <c r="G203" s="14"/>
      <c r="J203" s="23"/>
    </row>
    <row r="204" spans="2:10" s="8" customFormat="1" hidden="1">
      <c r="B204" s="10" t="s">
        <v>8</v>
      </c>
      <c r="C204" s="11" t="s">
        <v>119</v>
      </c>
      <c r="D204" s="11"/>
      <c r="E204" s="12"/>
      <c r="F204" s="13"/>
      <c r="G204" s="11"/>
      <c r="H204" s="12"/>
      <c r="I204" s="13"/>
      <c r="J204" s="20" t="s">
        <v>119</v>
      </c>
    </row>
    <row r="205" spans="2:10" s="8" customFormat="1" hidden="1">
      <c r="B205" s="10" t="s">
        <v>7</v>
      </c>
      <c r="C205" s="11" t="s">
        <v>119</v>
      </c>
      <c r="D205" s="11"/>
      <c r="E205" s="12"/>
      <c r="F205" s="13"/>
      <c r="G205" s="11"/>
      <c r="H205" s="12"/>
      <c r="I205" s="13"/>
      <c r="J205" s="20" t="s">
        <v>119</v>
      </c>
    </row>
    <row r="206" spans="2:10" s="8" customFormat="1" hidden="1">
      <c r="B206" s="10" t="s">
        <v>9</v>
      </c>
      <c r="C206" s="11" t="s">
        <v>119</v>
      </c>
      <c r="D206" s="11"/>
      <c r="E206" s="12"/>
      <c r="F206" s="13"/>
      <c r="G206" s="11"/>
      <c r="H206" s="12"/>
      <c r="I206" s="13"/>
      <c r="J206" s="20" t="s">
        <v>119</v>
      </c>
    </row>
    <row r="207" spans="2:10" s="8" customFormat="1" hidden="1">
      <c r="B207" s="10" t="s">
        <v>10</v>
      </c>
      <c r="C207" s="11" t="s">
        <v>119</v>
      </c>
      <c r="D207" s="11"/>
      <c r="E207" s="12"/>
      <c r="F207" s="13"/>
      <c r="G207" s="11"/>
      <c r="H207" s="12"/>
      <c r="I207" s="13"/>
      <c r="J207" s="20" t="s">
        <v>119</v>
      </c>
    </row>
    <row r="208" spans="2:10" s="8" customFormat="1" hidden="1">
      <c r="B208" s="10" t="s">
        <v>13</v>
      </c>
      <c r="C208" s="11" t="s">
        <v>119</v>
      </c>
      <c r="D208" s="11"/>
      <c r="E208" s="12"/>
      <c r="F208" s="13"/>
      <c r="G208" s="11"/>
      <c r="H208" s="12"/>
      <c r="I208" s="13"/>
      <c r="J208" s="20" t="s">
        <v>119</v>
      </c>
    </row>
    <row r="209" spans="2:10" s="8" customFormat="1" hidden="1">
      <c r="B209" s="10" t="s">
        <v>12</v>
      </c>
      <c r="C209" s="11" t="s">
        <v>119</v>
      </c>
      <c r="D209" s="11"/>
      <c r="E209" s="12"/>
      <c r="F209" s="13"/>
      <c r="G209" s="11"/>
      <c r="H209" s="12"/>
      <c r="I209" s="13"/>
      <c r="J209" s="20" t="s">
        <v>119</v>
      </c>
    </row>
    <row r="210" spans="2:10" s="8" customFormat="1" hidden="1">
      <c r="B210" s="10" t="s">
        <v>11</v>
      </c>
      <c r="C210" s="11" t="s">
        <v>119</v>
      </c>
      <c r="D210" s="11"/>
      <c r="E210" s="12"/>
      <c r="F210" s="13"/>
      <c r="G210" s="11"/>
      <c r="H210" s="12"/>
      <c r="I210" s="13"/>
      <c r="J210" s="20" t="s">
        <v>119</v>
      </c>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t="s">
        <v>119</v>
      </c>
      <c r="D214" s="14"/>
      <c r="E214" s="15"/>
      <c r="F214" s="15"/>
      <c r="G214" s="14"/>
      <c r="H214" s="15"/>
      <c r="I214" s="15"/>
      <c r="J214" s="24" t="s">
        <v>119</v>
      </c>
    </row>
    <row r="215" spans="2:10" s="8" customFormat="1" hidden="1">
      <c r="B215" s="10" t="s">
        <v>7</v>
      </c>
      <c r="C215" s="11" t="s">
        <v>119</v>
      </c>
      <c r="D215" s="11"/>
      <c r="E215" s="12"/>
      <c r="F215" s="12"/>
      <c r="G215" s="11"/>
      <c r="H215" s="12"/>
      <c r="I215" s="12"/>
      <c r="J215" s="20" t="s">
        <v>119</v>
      </c>
    </row>
    <row r="216" spans="2:10" s="8" customFormat="1" hidden="1">
      <c r="B216" s="10" t="s">
        <v>9</v>
      </c>
      <c r="C216" s="11" t="s">
        <v>119</v>
      </c>
      <c r="D216" s="11"/>
      <c r="E216" s="12"/>
      <c r="F216" s="12"/>
      <c r="G216" s="11"/>
      <c r="H216" s="12"/>
      <c r="I216" s="12"/>
      <c r="J216" s="20" t="s">
        <v>119</v>
      </c>
    </row>
    <row r="217" spans="2:10" s="8" customFormat="1" hidden="1">
      <c r="B217" s="10" t="s">
        <v>10</v>
      </c>
      <c r="C217" s="11" t="s">
        <v>119</v>
      </c>
      <c r="D217" s="11"/>
      <c r="E217" s="12"/>
      <c r="F217" s="12"/>
      <c r="G217" s="11"/>
      <c r="H217" s="12"/>
      <c r="I217" s="12"/>
      <c r="J217" s="20" t="s">
        <v>119</v>
      </c>
    </row>
    <row r="218" spans="2:10" s="8" customFormat="1" hidden="1">
      <c r="B218" s="10" t="s">
        <v>13</v>
      </c>
      <c r="C218" s="11" t="s">
        <v>119</v>
      </c>
      <c r="D218" s="11"/>
      <c r="E218" s="12"/>
      <c r="F218" s="12"/>
      <c r="G218" s="11"/>
      <c r="H218" s="12"/>
      <c r="I218" s="12"/>
      <c r="J218" s="20" t="s">
        <v>119</v>
      </c>
    </row>
    <row r="219" spans="2:10" s="8" customFormat="1" hidden="1">
      <c r="B219" s="10" t="s">
        <v>12</v>
      </c>
      <c r="C219" s="11" t="s">
        <v>119</v>
      </c>
      <c r="D219" s="11"/>
      <c r="E219" s="12"/>
      <c r="F219" s="12"/>
      <c r="G219" s="11"/>
      <c r="H219" s="12"/>
      <c r="I219" s="12"/>
      <c r="J219" s="20" t="s">
        <v>119</v>
      </c>
    </row>
    <row r="220" spans="2:10" s="8" customFormat="1" hidden="1">
      <c r="B220" s="10" t="s">
        <v>11</v>
      </c>
      <c r="C220" s="11" t="s">
        <v>119</v>
      </c>
      <c r="D220" s="11"/>
      <c r="E220" s="12"/>
      <c r="F220" s="12"/>
      <c r="G220" s="11"/>
      <c r="H220" s="12"/>
      <c r="I220" s="12"/>
      <c r="J220" s="20" t="s">
        <v>119</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t="s">
        <v>119</v>
      </c>
      <c r="D224" s="14"/>
      <c r="E224" s="15"/>
      <c r="F224" s="15"/>
      <c r="G224" s="14"/>
      <c r="H224" s="15"/>
      <c r="I224" s="15"/>
      <c r="J224" s="24" t="s">
        <v>119</v>
      </c>
    </row>
    <row r="225" spans="2:10" s="8" customFormat="1" hidden="1">
      <c r="B225" s="10" t="s">
        <v>7</v>
      </c>
      <c r="C225" s="11" t="s">
        <v>119</v>
      </c>
      <c r="D225" s="11"/>
      <c r="E225" s="12"/>
      <c r="F225" s="12"/>
      <c r="G225" s="11"/>
      <c r="H225" s="12"/>
      <c r="I225" s="12"/>
      <c r="J225" s="20" t="s">
        <v>119</v>
      </c>
    </row>
    <row r="226" spans="2:10" s="8" customFormat="1" hidden="1">
      <c r="B226" s="10" t="s">
        <v>9</v>
      </c>
      <c r="C226" s="11" t="s">
        <v>119</v>
      </c>
      <c r="D226" s="11"/>
      <c r="E226" s="12"/>
      <c r="F226" s="12"/>
      <c r="G226" s="11"/>
      <c r="H226" s="12"/>
      <c r="I226" s="12"/>
      <c r="J226" s="20" t="s">
        <v>119</v>
      </c>
    </row>
    <row r="227" spans="2:10" s="8" customFormat="1" hidden="1">
      <c r="B227" s="10" t="s">
        <v>10</v>
      </c>
      <c r="C227" s="11" t="s">
        <v>119</v>
      </c>
      <c r="D227" s="11"/>
      <c r="E227" s="12"/>
      <c r="F227" s="12"/>
      <c r="G227" s="11"/>
      <c r="H227" s="12"/>
      <c r="I227" s="12"/>
      <c r="J227" s="20" t="s">
        <v>119</v>
      </c>
    </row>
    <row r="228" spans="2:10" s="8" customFormat="1" hidden="1">
      <c r="B228" s="10" t="s">
        <v>13</v>
      </c>
      <c r="C228" s="11" t="s">
        <v>119</v>
      </c>
      <c r="D228" s="11"/>
      <c r="E228" s="12"/>
      <c r="F228" s="12"/>
      <c r="G228" s="11"/>
      <c r="H228" s="12"/>
      <c r="I228" s="12"/>
      <c r="J228" s="20" t="s">
        <v>119</v>
      </c>
    </row>
    <row r="229" spans="2:10" s="8" customFormat="1" hidden="1">
      <c r="B229" s="10" t="s">
        <v>12</v>
      </c>
      <c r="C229" s="11">
        <v>1</v>
      </c>
      <c r="D229" s="11" t="s">
        <v>123</v>
      </c>
      <c r="E229" s="12"/>
      <c r="F229" s="12">
        <v>0.83124999999999993</v>
      </c>
      <c r="G229" s="11"/>
      <c r="H229" s="12"/>
      <c r="I229" s="12"/>
      <c r="J229" s="20" t="s">
        <v>119</v>
      </c>
    </row>
    <row r="230" spans="2:10" s="8" customFormat="1" hidden="1">
      <c r="B230" s="10" t="s">
        <v>11</v>
      </c>
      <c r="C230" s="11" t="s">
        <v>119</v>
      </c>
      <c r="D230" s="11"/>
      <c r="E230" s="12"/>
      <c r="F230" s="12"/>
      <c r="G230" s="11"/>
      <c r="H230" s="12"/>
      <c r="I230" s="12"/>
      <c r="J230" s="20" t="s">
        <v>119</v>
      </c>
    </row>
    <row r="231" spans="2:10" hidden="1"/>
    <row r="232" spans="2:10" hidden="1"/>
    <row r="233" spans="2:10" s="8" customFormat="1" hidden="1">
      <c r="B233" s="8" t="s">
        <v>4</v>
      </c>
      <c r="C233" s="14"/>
      <c r="D233" s="8" t="s">
        <v>89</v>
      </c>
      <c r="G233" s="14"/>
      <c r="J233" s="23"/>
    </row>
    <row r="234" spans="2:10" s="8" customFormat="1" hidden="1">
      <c r="B234" s="10" t="s">
        <v>8</v>
      </c>
      <c r="C234" s="11" t="s">
        <v>119</v>
      </c>
      <c r="D234" s="11"/>
      <c r="E234" s="12"/>
      <c r="F234" s="13"/>
      <c r="G234" s="11"/>
      <c r="H234" s="12"/>
      <c r="I234" s="13"/>
      <c r="J234" s="20" t="s">
        <v>119</v>
      </c>
    </row>
    <row r="235" spans="2:10" s="8" customFormat="1" hidden="1">
      <c r="B235" s="10" t="s">
        <v>7</v>
      </c>
      <c r="C235" s="11" t="s">
        <v>119</v>
      </c>
      <c r="D235" s="11"/>
      <c r="E235" s="12"/>
      <c r="F235" s="13"/>
      <c r="G235" s="11"/>
      <c r="H235" s="12"/>
      <c r="I235" s="13"/>
      <c r="J235" s="20" t="s">
        <v>119</v>
      </c>
    </row>
    <row r="236" spans="2:10" s="8" customFormat="1" hidden="1">
      <c r="B236" s="10" t="s">
        <v>9</v>
      </c>
      <c r="C236" s="11" t="s">
        <v>119</v>
      </c>
      <c r="D236" s="11"/>
      <c r="E236" s="12"/>
      <c r="F236" s="13"/>
      <c r="G236" s="11"/>
      <c r="H236" s="12"/>
      <c r="I236" s="13"/>
      <c r="J236" s="20" t="s">
        <v>119</v>
      </c>
    </row>
    <row r="237" spans="2:10" s="8" customFormat="1" hidden="1">
      <c r="B237" s="10" t="s">
        <v>10</v>
      </c>
      <c r="C237" s="11" t="s">
        <v>119</v>
      </c>
      <c r="D237" s="11"/>
      <c r="E237" s="12"/>
      <c r="F237" s="13"/>
      <c r="G237" s="11"/>
      <c r="H237" s="12"/>
      <c r="I237" s="13"/>
      <c r="J237" s="20" t="s">
        <v>119</v>
      </c>
    </row>
    <row r="238" spans="2:10" s="8" customFormat="1" hidden="1">
      <c r="B238" s="10" t="s">
        <v>13</v>
      </c>
      <c r="C238" s="11" t="s">
        <v>119</v>
      </c>
      <c r="D238" s="11"/>
      <c r="E238" s="12"/>
      <c r="F238" s="13"/>
      <c r="G238" s="11"/>
      <c r="H238" s="12"/>
      <c r="I238" s="13"/>
      <c r="J238" s="20" t="s">
        <v>119</v>
      </c>
    </row>
    <row r="239" spans="2:10" s="8" customFormat="1" hidden="1">
      <c r="B239" s="10" t="s">
        <v>12</v>
      </c>
      <c r="C239" s="11" t="s">
        <v>119</v>
      </c>
      <c r="D239" s="11"/>
      <c r="E239" s="12"/>
      <c r="F239" s="13"/>
      <c r="G239" s="11"/>
      <c r="H239" s="12"/>
      <c r="I239" s="13"/>
      <c r="J239" s="20" t="s">
        <v>119</v>
      </c>
    </row>
    <row r="240" spans="2:10" s="8" customFormat="1" hidden="1">
      <c r="B240" s="10" t="s">
        <v>11</v>
      </c>
      <c r="C240" s="11" t="s">
        <v>119</v>
      </c>
      <c r="D240" s="11"/>
      <c r="E240" s="12"/>
      <c r="F240" s="13"/>
      <c r="G240" s="11"/>
      <c r="H240" s="12"/>
      <c r="I240" s="13"/>
      <c r="J240" s="20" t="s">
        <v>119</v>
      </c>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t="s">
        <v>119</v>
      </c>
      <c r="D264" s="11"/>
      <c r="E264" s="12"/>
      <c r="F264" s="13"/>
      <c r="G264" s="11" t="s">
        <v>123</v>
      </c>
      <c r="H264" s="12">
        <v>0.35416666666666702</v>
      </c>
      <c r="I264" s="13">
        <v>0.97916666666666696</v>
      </c>
      <c r="J264" s="20">
        <v>1</v>
      </c>
    </row>
    <row r="265" spans="2:10" s="8" customFormat="1" hidden="1">
      <c r="B265" s="10" t="s">
        <v>7</v>
      </c>
      <c r="C265" s="11" t="s">
        <v>119</v>
      </c>
      <c r="D265" s="11"/>
      <c r="E265" s="12"/>
      <c r="F265" s="13"/>
      <c r="G265" s="11"/>
      <c r="H265" s="12"/>
      <c r="I265" s="13"/>
      <c r="J265" s="20" t="s">
        <v>119</v>
      </c>
    </row>
    <row r="266" spans="2:10" s="8" customFormat="1" hidden="1">
      <c r="B266" s="10" t="s">
        <v>9</v>
      </c>
      <c r="C266" s="11" t="s">
        <v>119</v>
      </c>
      <c r="D266" s="11"/>
      <c r="E266" s="12"/>
      <c r="F266" s="13"/>
      <c r="G266" s="11"/>
      <c r="H266" s="12"/>
      <c r="I266" s="13"/>
      <c r="J266" s="20" t="s">
        <v>119</v>
      </c>
    </row>
    <row r="267" spans="2:10" s="8" customFormat="1" hidden="1">
      <c r="B267" s="10" t="s">
        <v>10</v>
      </c>
      <c r="C267" s="11" t="s">
        <v>119</v>
      </c>
      <c r="D267" s="11"/>
      <c r="E267" s="12"/>
      <c r="F267" s="13"/>
      <c r="G267" s="11"/>
      <c r="H267" s="12"/>
      <c r="I267" s="13"/>
      <c r="J267" s="20" t="s">
        <v>119</v>
      </c>
    </row>
    <row r="268" spans="2:10" s="8" customFormat="1" hidden="1">
      <c r="B268" s="10" t="s">
        <v>13</v>
      </c>
      <c r="C268" s="11" t="s">
        <v>119</v>
      </c>
      <c r="D268" s="11"/>
      <c r="E268" s="12"/>
      <c r="F268" s="13"/>
      <c r="G268" s="11"/>
      <c r="H268" s="12"/>
      <c r="I268" s="13"/>
      <c r="J268" s="20" t="s">
        <v>119</v>
      </c>
    </row>
    <row r="269" spans="2:10" s="8" customFormat="1" hidden="1">
      <c r="B269" s="10" t="s">
        <v>12</v>
      </c>
      <c r="C269" s="11" t="s">
        <v>119</v>
      </c>
      <c r="D269" s="11"/>
      <c r="E269" s="12"/>
      <c r="F269" s="13"/>
      <c r="G269" s="11"/>
      <c r="H269" s="12"/>
      <c r="I269" s="13"/>
      <c r="J269" s="20" t="s">
        <v>119</v>
      </c>
    </row>
    <row r="270" spans="2:10" s="8" customFormat="1" hidden="1">
      <c r="B270" s="10" t="s">
        <v>11</v>
      </c>
      <c r="C270" s="11" t="s">
        <v>119</v>
      </c>
      <c r="D270" s="11"/>
      <c r="E270" s="12"/>
      <c r="F270" s="13"/>
      <c r="G270" s="11"/>
      <c r="H270" s="12"/>
      <c r="I270" s="13"/>
      <c r="J270" s="20" t="s">
        <v>119</v>
      </c>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t="s">
        <v>119</v>
      </c>
      <c r="D274" s="14"/>
      <c r="E274" s="15"/>
      <c r="F274" s="15"/>
      <c r="G274" s="14"/>
      <c r="H274" s="15"/>
      <c r="I274" s="15"/>
      <c r="J274" s="24" t="s">
        <v>119</v>
      </c>
    </row>
    <row r="275" spans="2:10" s="8" customFormat="1" hidden="1">
      <c r="B275" s="10" t="s">
        <v>7</v>
      </c>
      <c r="C275" s="11" t="s">
        <v>119</v>
      </c>
      <c r="D275" s="11"/>
      <c r="E275" s="12"/>
      <c r="F275" s="12"/>
      <c r="G275" s="11"/>
      <c r="H275" s="12"/>
      <c r="I275" s="12"/>
      <c r="J275" s="20" t="s">
        <v>119</v>
      </c>
    </row>
    <row r="276" spans="2:10" s="8" customFormat="1" hidden="1">
      <c r="B276" s="10" t="s">
        <v>9</v>
      </c>
      <c r="C276" s="11" t="s">
        <v>119</v>
      </c>
      <c r="D276" s="11"/>
      <c r="E276" s="12"/>
      <c r="F276" s="12"/>
      <c r="G276" s="11"/>
      <c r="H276" s="12"/>
      <c r="I276" s="12"/>
      <c r="J276" s="20" t="s">
        <v>119</v>
      </c>
    </row>
    <row r="277" spans="2:10" s="8" customFormat="1" hidden="1">
      <c r="B277" s="10" t="s">
        <v>10</v>
      </c>
      <c r="C277" s="11" t="s">
        <v>119</v>
      </c>
      <c r="D277" s="11"/>
      <c r="E277" s="12"/>
      <c r="F277" s="12"/>
      <c r="G277" s="11"/>
      <c r="H277" s="12"/>
      <c r="I277" s="12"/>
      <c r="J277" s="20" t="s">
        <v>119</v>
      </c>
    </row>
    <row r="278" spans="2:10" s="8" customFormat="1" hidden="1">
      <c r="B278" s="10" t="s">
        <v>13</v>
      </c>
      <c r="C278" s="11" t="s">
        <v>119</v>
      </c>
      <c r="D278" s="11"/>
      <c r="E278" s="12"/>
      <c r="F278" s="12"/>
      <c r="G278" s="11"/>
      <c r="H278" s="12"/>
      <c r="I278" s="12"/>
      <c r="J278" s="20" t="s">
        <v>119</v>
      </c>
    </row>
    <row r="279" spans="2:10" s="8" customFormat="1" hidden="1">
      <c r="B279" s="10" t="s">
        <v>12</v>
      </c>
      <c r="C279" s="11" t="s">
        <v>119</v>
      </c>
      <c r="D279" s="11"/>
      <c r="E279" s="12"/>
      <c r="F279" s="12"/>
      <c r="G279" s="11"/>
      <c r="H279" s="12"/>
      <c r="I279" s="12"/>
      <c r="J279" s="20" t="s">
        <v>119</v>
      </c>
    </row>
    <row r="280" spans="2:10" s="8" customFormat="1" hidden="1">
      <c r="B280" s="10" t="s">
        <v>11</v>
      </c>
      <c r="C280" s="11" t="s">
        <v>119</v>
      </c>
      <c r="D280" s="11"/>
      <c r="E280" s="12"/>
      <c r="F280" s="12"/>
      <c r="G280" s="11"/>
      <c r="H280" s="12"/>
      <c r="I280" s="12"/>
      <c r="J280" s="20" t="s">
        <v>119</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t="s">
        <v>119</v>
      </c>
      <c r="D324" s="11"/>
      <c r="E324" s="12"/>
      <c r="F324" s="13"/>
      <c r="G324" s="11"/>
      <c r="H324" s="12"/>
      <c r="I324" s="13"/>
      <c r="J324" s="20" t="s">
        <v>119</v>
      </c>
    </row>
    <row r="325" spans="2:10" s="8" customFormat="1" hidden="1">
      <c r="B325" s="10" t="s">
        <v>7</v>
      </c>
      <c r="C325" s="11" t="s">
        <v>119</v>
      </c>
      <c r="D325" s="11"/>
      <c r="E325" s="12"/>
      <c r="F325" s="13"/>
      <c r="G325" s="11"/>
      <c r="H325" s="12"/>
      <c r="I325" s="13"/>
      <c r="J325" s="20" t="s">
        <v>119</v>
      </c>
    </row>
    <row r="326" spans="2:10" s="8" customFormat="1" hidden="1">
      <c r="B326" s="10" t="s">
        <v>9</v>
      </c>
      <c r="C326" s="11" t="s">
        <v>119</v>
      </c>
      <c r="D326" s="11"/>
      <c r="E326" s="12"/>
      <c r="F326" s="13"/>
      <c r="G326" s="11"/>
      <c r="H326" s="12"/>
      <c r="I326" s="13"/>
      <c r="J326" s="20" t="s">
        <v>119</v>
      </c>
    </row>
    <row r="327" spans="2:10" s="8" customFormat="1" hidden="1">
      <c r="B327" s="10" t="s">
        <v>10</v>
      </c>
      <c r="C327" s="11" t="s">
        <v>119</v>
      </c>
      <c r="D327" s="11"/>
      <c r="E327" s="12"/>
      <c r="F327" s="13"/>
      <c r="G327" s="11"/>
      <c r="H327" s="12"/>
      <c r="I327" s="13"/>
      <c r="J327" s="20" t="s">
        <v>119</v>
      </c>
    </row>
    <row r="328" spans="2:10" s="8" customFormat="1" hidden="1">
      <c r="B328" s="10" t="s">
        <v>13</v>
      </c>
      <c r="C328" s="11" t="s">
        <v>119</v>
      </c>
      <c r="D328" s="11"/>
      <c r="E328" s="12"/>
      <c r="F328" s="13"/>
      <c r="G328" s="11"/>
      <c r="H328" s="12"/>
      <c r="I328" s="13"/>
      <c r="J328" s="20" t="s">
        <v>119</v>
      </c>
    </row>
    <row r="329" spans="2:10" s="8" customFormat="1" hidden="1">
      <c r="B329" s="10" t="s">
        <v>12</v>
      </c>
      <c r="C329" s="11" t="s">
        <v>119</v>
      </c>
      <c r="D329" s="11"/>
      <c r="E329" s="12"/>
      <c r="F329" s="13"/>
      <c r="G329" s="11" t="s">
        <v>123</v>
      </c>
      <c r="H329" s="12"/>
      <c r="I329" s="13">
        <v>0.58333333333333304</v>
      </c>
      <c r="J329" s="20">
        <v>1</v>
      </c>
    </row>
    <row r="330" spans="2:10" s="8" customFormat="1" hidden="1">
      <c r="B330" s="10" t="s">
        <v>11</v>
      </c>
      <c r="C330" s="11" t="s">
        <v>119</v>
      </c>
      <c r="D330" s="11"/>
      <c r="E330" s="12"/>
      <c r="F330" s="13"/>
      <c r="G330" s="11"/>
      <c r="H330" s="12"/>
      <c r="I330" s="13"/>
      <c r="J330" s="20" t="s">
        <v>119</v>
      </c>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t="s">
        <v>119</v>
      </c>
      <c r="E374" s="32"/>
      <c r="F374" s="32"/>
      <c r="G374" s="9" t="s">
        <v>120</v>
      </c>
      <c r="H374" s="32">
        <v>0.29166666666666702</v>
      </c>
      <c r="I374" s="32">
        <v>0.95833333333333304</v>
      </c>
      <c r="J374" s="21">
        <v>1</v>
      </c>
    </row>
    <row r="375" spans="2:10" hidden="1">
      <c r="B375" s="10" t="s">
        <v>7</v>
      </c>
      <c r="C375" s="9" t="s">
        <v>119</v>
      </c>
      <c r="E375" s="32"/>
      <c r="F375" s="32"/>
      <c r="G375" s="9" t="s">
        <v>120</v>
      </c>
      <c r="H375" s="32">
        <v>0.29166666666666702</v>
      </c>
      <c r="I375" s="32">
        <v>0.95833333333333304</v>
      </c>
      <c r="J375" s="21">
        <v>1</v>
      </c>
    </row>
    <row r="376" spans="2:10" hidden="1">
      <c r="B376" s="10" t="s">
        <v>9</v>
      </c>
      <c r="C376" s="9" t="s">
        <v>119</v>
      </c>
      <c r="E376" s="32"/>
      <c r="F376" s="32"/>
      <c r="G376" s="9" t="s">
        <v>120</v>
      </c>
      <c r="H376" s="32">
        <v>0.29166666666666702</v>
      </c>
      <c r="I376" s="32">
        <v>0.95833333333333304</v>
      </c>
      <c r="J376" s="21">
        <v>1</v>
      </c>
    </row>
    <row r="377" spans="2:10" hidden="1">
      <c r="B377" s="10" t="s">
        <v>10</v>
      </c>
      <c r="C377" s="9" t="s">
        <v>119</v>
      </c>
      <c r="E377" s="32"/>
      <c r="F377" s="32"/>
      <c r="G377" s="9" t="s">
        <v>120</v>
      </c>
      <c r="H377" s="32">
        <v>0.29166666666666702</v>
      </c>
      <c r="I377" s="32">
        <v>0.95833333333333304</v>
      </c>
      <c r="J377" s="21">
        <v>1</v>
      </c>
    </row>
    <row r="378" spans="2:10" hidden="1">
      <c r="B378" s="10" t="s">
        <v>13</v>
      </c>
      <c r="C378" s="9" t="s">
        <v>119</v>
      </c>
      <c r="E378" s="32"/>
      <c r="F378" s="32"/>
      <c r="G378" s="9" t="s">
        <v>120</v>
      </c>
      <c r="H378" s="32">
        <v>0.29166666666666702</v>
      </c>
      <c r="I378" s="32">
        <v>0.95833333333333304</v>
      </c>
      <c r="J378" s="21">
        <v>1</v>
      </c>
    </row>
    <row r="379" spans="2:10" hidden="1">
      <c r="B379" s="10" t="s">
        <v>12</v>
      </c>
      <c r="C379" s="9" t="s">
        <v>119</v>
      </c>
      <c r="E379" s="32"/>
      <c r="F379" s="32"/>
      <c r="G379" s="9" t="s">
        <v>120</v>
      </c>
      <c r="H379" s="32">
        <v>0.33333333333333298</v>
      </c>
      <c r="I379" s="32">
        <v>0.91666666666666696</v>
      </c>
      <c r="J379" s="21">
        <v>1</v>
      </c>
    </row>
    <row r="380" spans="2:10" hidden="1">
      <c r="B380" s="10" t="s">
        <v>11</v>
      </c>
      <c r="C380" s="9" t="s">
        <v>119</v>
      </c>
      <c r="E380" s="32"/>
      <c r="F380" s="32"/>
      <c r="G380" s="9" t="s">
        <v>121</v>
      </c>
      <c r="H380" s="32">
        <v>0.33333333333333298</v>
      </c>
      <c r="I380" s="32">
        <v>0.91666666666666696</v>
      </c>
      <c r="J380" s="21">
        <v>2</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Данные!#ССЫЛКА!</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dcterms:created xsi:type="dcterms:W3CDTF">2006-09-16T00:00:00Z</dcterms:created>
  <dcterms:modified xsi:type="dcterms:W3CDTF">2023-02-13T14:15:48Z</dcterms:modified>
</cp:coreProperties>
</file>