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milli\Documents\Programming\Python\Projects\schedules\"/>
    </mc:Choice>
  </mc:AlternateContent>
  <bookViews>
    <workbookView xWindow="-120" yWindow="-120" windowWidth="15480" windowHeight="7140"/>
  </bookViews>
  <sheets>
    <sheet name="Schedule" sheetId="1" r:id="rId1"/>
  </sheets>
  <externalReferences>
    <externalReference r:id="rId2"/>
  </externalReferences>
  <definedNames>
    <definedName name="Z_6539DA85_997C_490C_BA35_1E84C785641A_.wvu.Cols" localSheetId="0" hidden="1">Schedule!$C:$C,Schedule!$J:$J,Schedule!$L:$L</definedName>
    <definedName name="Z_6539DA85_997C_490C_BA35_1E84C785641A_.wvu.Rows" localSheetId="0" hidden="1">Schedule!$15:$391,Schedule!$411:$411</definedName>
    <definedName name="ЕстьПустые">Schedule!$F$17:$F$49</definedName>
    <definedName name="НетПустых">Schedule!$G$17:$G$49</definedName>
  </definedNames>
  <calcPr calcId="162913"/>
  <customWorkbookViews>
    <customWorkbookView name="Windows User - Личное представление" guid="{6539DA85-997C-490C-BA35-1E84C785641A}" mergeInterval="0" personalView="1" maximized="1" xWindow="-8" yWindow="-8" windowWidth="1936" windowHeight="1056" activeSheetId="1"/>
  </customWorkbookViews>
</workbook>
</file>

<file path=xl/calcChain.xml><?xml version="1.0" encoding="utf-8"?>
<calcChain xmlns="http://schemas.openxmlformats.org/spreadsheetml/2006/main">
  <c r="F30" i="1" l="1"/>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29" i="1"/>
  <c r="F28" i="1"/>
  <c r="F27" i="1"/>
  <c r="F26" i="1"/>
  <c r="F25" i="1"/>
  <c r="F24" i="1"/>
  <c r="F23" i="1"/>
  <c r="F22" i="1"/>
  <c r="F21" i="1"/>
  <c r="F20" i="1"/>
  <c r="F19" i="1"/>
  <c r="F18" i="1"/>
  <c r="F17" i="1" l="1"/>
  <c r="D13" i="1" s="1"/>
  <c r="G25" i="1" a="1"/>
  <c r="G35" i="1" a="1"/>
  <c r="G42" i="1" a="1"/>
  <c r="G24" i="1" a="1"/>
  <c r="G17" i="1" a="1"/>
  <c r="G21" i="1" a="1"/>
  <c r="G41" i="1" a="1"/>
  <c r="G30" i="1" a="1"/>
  <c r="G29" i="1" a="1"/>
  <c r="G44" i="1" a="1"/>
  <c r="G38" i="1" a="1"/>
  <c r="G27" i="1" a="1"/>
  <c r="G22" i="1" a="1"/>
  <c r="G33" i="1" a="1"/>
  <c r="G37" i="1" a="1"/>
  <c r="G34" i="1" a="1"/>
  <c r="G45" i="1" a="1"/>
  <c r="G28" i="1" a="1"/>
  <c r="G32" i="1" a="1"/>
  <c r="G46" i="1" a="1"/>
  <c r="G40" i="1" a="1"/>
  <c r="G47" i="1" a="1"/>
  <c r="G23" i="1" a="1"/>
  <c r="G43" i="1" a="1"/>
  <c r="G19" i="1" a="1"/>
  <c r="G20" i="1" a="1"/>
  <c r="G26" i="1" a="1"/>
  <c r="G49" i="1" a="1"/>
  <c r="G18" i="1" a="1"/>
  <c r="G48" i="1" a="1"/>
  <c r="G36" i="1" a="1"/>
  <c r="G31" i="1" a="1"/>
  <c r="G39"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<sst xmlns="http://schemas.openxmlformats.org/spreadsheetml/2006/main" count="399" uniqueCount="121">
  <si>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</si>
  <si>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</si>
  <si>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</si>
  <si>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</si>
  <si>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</si>
  <si>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</si>
  <si>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</si>
  <si>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</si>
  <si>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</si>
  <si>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</si>
  <si>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</si>
  <si>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</si>
  <si>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</si>
  <si>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</si>
  <si>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</si>
  <si>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</si>
  <si>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</si>
  <si>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</si>
  <si>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</si>
  <si>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</si>
  <si>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</si>
  <si>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</si>
  <si>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</si>
  <si>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</si>
  <si>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</si>
  <si>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</si>
  <si>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</si>
  <si>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</si>
  <si>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</si>
  <si>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</si>
  <si>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</si>
  <si>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</si>
  <si>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</si>
  <si>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</si>
  <si>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</si>
  <si>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</si>
  <si>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</si>
  <si>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</si>
  <si>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</si>
  <si>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</si>
  <si>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</si>
  <si>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</si>
  <si>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</si>
  <si>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</si>
  <si>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</si>
  <si>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</si>
  <si>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</si>
  <si>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</si>
  <si>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</si>
  <si>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</si>
  <si>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</si>
  <si>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</si>
  <si>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</si>
  <si>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</si>
  <si>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</si>
  <si>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</si>
  <si>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</si>
  <si>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</si>
  <si>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</si>
  <si>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</si>
  <si>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</si>
  <si>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</si>
  <si>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</si>
  <si>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</si>
  <si>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</si>
  <si>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</si>
  <si>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</si>
  <si>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</si>
  <si>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</si>
  <si>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</si>
  <si>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</si>
  <si>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</si>
  <si>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</si>
  <si>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</si>
  <si>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</si>
  <si>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</si>
  <si>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</si>
  <si>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</si>
  <si>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</si>
  <si>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</si>
  <si>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</si>
  <si>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</si>
  <si>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</si>
  <si>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</si>
  <si>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</si>
  <si>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</si>
  <si>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</si>
  <si>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</si>
  <si>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</si>
  <si>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</si>
  <si>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</si>
  <si>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</si>
  <si>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</si>
  <si>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</si>
  <si>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</si>
  <si>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</si>
  <si>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</si>
  <si>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</si>
  <si>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</si>
  <si>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</si>
  <si>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</si>
  <si>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</si>
  <si>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</si>
  <si>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</si>
  <si>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</si>
  <si>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</si>
  <si>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</si>
  <si>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</si>
  <si>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</si>
  <si>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</si>
  <si>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</si>
  <si>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</si>
  <si>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</si>
  <si>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</si>
  <si>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</si>
  <si>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</si>
  <si>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</si>
  <si>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</si>
  <si>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режим</t>
  </si>
  <si>
    <t>хоккей</t>
  </si>
  <si>
    <t>фигурное катание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</si>
</sst>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sz val="10"/>
      <color theme="0" tint="-0.249977111117893"/>
      <name val="Calibri"/>
      <family val="2"/>
      <charset val="204"/>
      <scheme val="minor"/>
    </font>
    <font>
      <b/>
      <sz val="11"/>
      <color rgb="FF000000"/>
      <name val="Calibri"/>
      <family val="2"/>
      <charset val="204"/>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6">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49" fontId="0" fillId="0" borderId="0" xfId="0" applyNumberFormat="1" applyProtection="1">
      <protection locked="0"/>
    </xf>
    <xf numFmtId="0" fontId="6" fillId="2" borderId="1" xfId="0" applyFont="1" applyFill="1" applyBorder="1" applyAlignment="1" applyProtection="1">
      <alignment horizontal="center" vertical="center"/>
      <protection locked="0"/>
    </xf>
    <xf numFmtId="164" fontId="6" fillId="2" borderId="1" xfId="0" applyNumberFormat="1" applyFont="1" applyFill="1" applyBorder="1" applyAlignment="1" applyProtection="1">
      <alignment horizontal="center" vertical="center"/>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3" fillId="0" borderId="0" xfId="0" applyFont="1" applyAlignment="1" applyProtection="1">
      <alignment horizontal="center"/>
      <protection locked="0"/>
    </xf>
    <xf numFmtId="0" fontId="13" fillId="0" borderId="0" xfId="0" applyFont="1" applyAlignment="1">
      <alignment horizontal="center"/>
    </xf>
  </cellXfs>
  <cellStyles count="1">
    <cellStyle name="Обычный" xfId="0" builtinId="0"/>
  </cellStyles>
  <dxfs count="3">
    <dxf>
      <font>
        <b val="0"/>
        <i val="0"/>
        <color rgb="FFFF0000"/>
      </font>
    </dxf>
    <dxf>
      <font>
        <b/>
        <i val="0"/>
        <color rgb="FFFF0000"/>
      </font>
    </dxf>
    <dxf>
      <font>
        <color theme="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279400</xdr:colOff>
          <xdr:row>1</xdr:row>
          <xdr:rowOff>203200</xdr:rowOff>
        </xdr:from>
        <xdr:to>
          <xdr:col>4</xdr:col>
          <xdr:colOff>279400</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203200</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203200</xdr:rowOff>
        </xdr:from>
        <xdr:to>
          <xdr:col>6</xdr:col>
          <xdr:colOff>603250</xdr:colOff>
          <xdr:row>1</xdr:row>
          <xdr:rowOff>469900</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12700</xdr:rowOff>
        </xdr:from>
        <xdr:to>
          <xdr:col>1</xdr:col>
          <xdr:colOff>1212850</xdr:colOff>
          <xdr:row>13</xdr:row>
          <xdr:rowOff>88900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411"/>
  <sheetViews>
    <sheetView tabSelected="1" zoomScale="149" zoomScaleNormal="190" workbookViewId="0">
      <selection activeCell="B2" sqref="B2"/>
    </sheetView>
  </sheetViews>
  <sheetFormatPr defaultColWidth="8.7265625" defaultRowHeight="14.5"/>
  <cols>
    <col min="1" max="1" width="4.36328125" style="2" customWidth="1"/>
    <col min="2" max="2" width="22.453125" style="2" customWidth="1"/>
    <col min="3" max="3" width="2.7265625" style="7" customWidth="1"/>
    <col min="4" max="4" width="17" style="7" customWidth="1"/>
    <col min="5" max="6" width="10.26953125" style="7" customWidth="1"/>
    <col min="7" max="7" width="16.26953125" style="7" customWidth="1"/>
    <col min="8" max="9" width="10.26953125" style="2" customWidth="1"/>
    <col min="10" max="10" width="3.1796875" style="19" customWidth="1"/>
    <col min="11" max="11" width="6.1796875" style="2" customWidth="1"/>
    <col min="12" max="12" width="8.7265625" style="2" hidden="1" customWidth="1"/>
    <col min="13" max="13" width="8.453125" style="2" customWidth="1"/>
    <col min="14" max="16384" width="8.7265625" style="2"/>
  </cols>
  <sheetData>
    <row r="1" spans="1:13">
      <c r="A1" s="34" t="s">
        <v>113</v>
      </c>
      <c r="B1" s="39" t="s">
        <v>114</v>
      </c>
      <c r="C1" s="39"/>
      <c r="D1" s="39"/>
      <c r="E1" s="39"/>
      <c r="F1" s="39"/>
      <c r="G1" s="39"/>
      <c r="H1" s="39"/>
      <c r="I1" s="39"/>
    </row>
    <row r="2" spans="1:13" ht="32.15" customHeight="1">
      <c r="B2" s="28" t="s">
        <v>69</v>
      </c>
      <c r="C2" s="40"/>
      <c r="D2" s="41"/>
      <c r="E2" s="41"/>
      <c r="F2" s="41"/>
      <c r="G2" s="41"/>
      <c r="H2" s="41"/>
      <c r="I2" s="41"/>
      <c r="J2" s="41"/>
    </row>
    <row r="3" spans="1:13" ht="12" customHeight="1">
      <c r="B3" s="27" t="str">
        <f>INDEX(B17:B49,(MATCH(B2,A17:A49,1=0)))</f>
        <v>Кабинеты 2й этаж</v>
      </c>
      <c r="C3" s="42"/>
      <c r="D3" s="43"/>
      <c r="E3" s="43"/>
      <c r="F3" s="43"/>
      <c r="G3" s="43"/>
      <c r="H3" s="43"/>
      <c r="I3" s="43"/>
      <c r="J3" s="43"/>
    </row>
    <row r="4" spans="1:13" s="3" customFormat="1">
      <c r="B4" s="4" t="s">
        <v>6</v>
      </c>
      <c r="C4" s="4" t="s">
        <v>36</v>
      </c>
      <c r="D4" s="4" t="s">
        <v>118</v>
      </c>
      <c r="E4" s="4" t="s">
        <v>5</v>
      </c>
      <c r="F4" s="4" t="s">
        <v>3</v>
      </c>
      <c r="G4" s="4" t="s">
        <v>118</v>
      </c>
      <c r="H4" s="4" t="s">
        <v>5</v>
      </c>
      <c r="I4" s="4" t="s">
        <v>3</v>
      </c>
      <c r="J4" s="20" t="s">
        <v>36</v>
      </c>
    </row>
    <row r="5" spans="1:13" ht="16.5" customHeight="1">
      <c r="B5" s="5" t="s">
        <v>106</v>
      </c>
      <c r="C5" s="1" t="str">
        <f>IF(OR(D5="фигурное катание",D5="высокая",D5="желтый"),2,IF(OR(D5="низкая",D5="хоккей",D5="синий"),1,""))</f>
        <v/>
      </c>
      <c r="D5" s="37"/>
      <c r="E5" s="38"/>
      <c r="F5" s="38"/>
      <c r="G5" s="37"/>
      <c r="H5" s="38"/>
      <c r="I5" s="38"/>
      <c r="J5" s="17" t="str">
        <f>IF(OR(G5="фигурное катание",G5="высокая",G5="желтый"),2,IF(OR(G5="низкая",G5="хоккей",G5="синий"),1,""))</f>
        <v/>
      </c>
      <c r="K5" s="31"/>
      <c r="L5" s="31">
        <v>0</v>
      </c>
      <c r="M5" s="32"/>
    </row>
    <row r="6" spans="1:13" ht="16.5" customHeight="1">
      <c r="B6" s="5" t="s">
        <v>107</v>
      </c>
      <c r="C6" s="1" t="str">
        <f t="shared" ref="C6:C11" si="0">IF(OR(D6="фигурное катание",D6="высокая",D6="желтый"),2,IF(OR(D6="низкая",D6="хоккей",D6="синий"),1,""))</f>
        <v/>
      </c>
      <c r="D6" s="37"/>
      <c r="E6" s="38"/>
      <c r="F6" s="38"/>
      <c r="G6" s="37"/>
      <c r="H6" s="38"/>
      <c r="I6" s="38"/>
      <c r="J6" s="17" t="str">
        <f t="shared" ref="J6:J11" si="1">IF(OR(G6="фигурное катание",G6="высокая",G6="желтый"),2,IF(OR(G6="низкая",G6="хоккей",G6="синий"),1,""))</f>
        <v/>
      </c>
      <c r="L6" s="31">
        <v>2.0833333333333332E-2</v>
      </c>
    </row>
    <row r="7" spans="1:13" ht="16.5" customHeight="1">
      <c r="B7" s="5" t="s">
        <v>108</v>
      </c>
      <c r="C7" s="1" t="str">
        <f t="shared" si="0"/>
        <v/>
      </c>
      <c r="D7" s="37"/>
      <c r="E7" s="38"/>
      <c r="F7" s="38"/>
      <c r="G7" s="37"/>
      <c r="H7" s="38"/>
      <c r="I7" s="38"/>
      <c r="J7" s="17" t="str">
        <f t="shared" si="1"/>
        <v/>
      </c>
      <c r="L7" s="31">
        <v>4.1666666666666664E-2</v>
      </c>
    </row>
    <row r="8" spans="1:13" ht="16.5" customHeight="1">
      <c r="B8" s="5" t="s">
        <v>109</v>
      </c>
      <c r="C8" s="1" t="str">
        <f t="shared" si="0"/>
        <v/>
      </c>
      <c r="D8" s="37"/>
      <c r="E8" s="38"/>
      <c r="F8" s="38"/>
      <c r="G8" s="37"/>
      <c r="H8" s="38"/>
      <c r="I8" s="38"/>
      <c r="J8" s="17" t="str">
        <f t="shared" si="1"/>
        <v/>
      </c>
      <c r="L8" s="31">
        <v>6.25E-2</v>
      </c>
    </row>
    <row r="9" spans="1:13" ht="16.5" customHeight="1">
      <c r="B9" s="5" t="s">
        <v>110</v>
      </c>
      <c r="C9" s="1" t="str">
        <f t="shared" si="0"/>
        <v/>
      </c>
      <c r="D9" s="37"/>
      <c r="E9" s="38"/>
      <c r="F9" s="38"/>
      <c r="G9" s="37"/>
      <c r="H9" s="38"/>
      <c r="I9" s="38"/>
      <c r="J9" s="17" t="str">
        <f t="shared" si="1"/>
        <v/>
      </c>
      <c r="L9" s="31">
        <v>8.3333333333333301E-2</v>
      </c>
    </row>
    <row r="10" spans="1:13" ht="16.5" customHeight="1">
      <c r="B10" s="5" t="s">
        <v>111</v>
      </c>
      <c r="C10" s="1">
        <f t="shared" si="0"/>
        <v>1</v>
      </c>
      <c r="D10" s="37" t="s">
        <v>119</v>
      </c>
      <c r="E10" s="38">
        <v>0.35069444444444442</v>
      </c>
      <c r="F10" s="38"/>
      <c r="G10" s="37"/>
      <c r="H10" s="38"/>
      <c r="I10" s="38"/>
      <c r="J10" s="17" t="str">
        <f t="shared" si="1"/>
        <v/>
      </c>
      <c r="L10" s="31">
        <v>0.104166666666667</v>
      </c>
    </row>
    <row r="11" spans="1:13" ht="16.5" customHeight="1">
      <c r="B11" s="5" t="s">
        <v>112</v>
      </c>
      <c r="C11" s="1" t="str">
        <f t="shared" si="0"/>
        <v/>
      </c>
      <c r="D11" s="37"/>
      <c r="E11" s="38"/>
      <c r="F11" s="38"/>
      <c r="G11" s="37"/>
      <c r="H11" s="38"/>
      <c r="I11" s="38"/>
      <c r="J11" s="17" t="str">
        <f t="shared" si="1"/>
        <v/>
      </c>
      <c r="L11" s="31">
        <v>0.125</v>
      </c>
    </row>
    <row r="12" spans="1:13">
      <c r="L12" s="31">
        <v>0.14583333333333301</v>
      </c>
    </row>
    <row r="13" spans="1:13">
      <c r="D13" s="44" t="str">
        <f>IF(COUNTIF((F17:F49),"")=33,"Нет заданых расписаний","Расписание задано для:")</f>
        <v>Расписание задано для:</v>
      </c>
      <c r="E13" s="45"/>
      <c r="F13" s="33"/>
      <c r="G13" s="35"/>
      <c r="I13" s="7"/>
      <c r="L13" s="31">
        <v>0.16666666666666699</v>
      </c>
    </row>
    <row r="14" spans="1:13">
      <c r="L14" s="31">
        <v>0.1875</v>
      </c>
    </row>
    <row r="15" spans="1:13">
      <c r="A15" s="6" t="s">
        <v>119</v>
      </c>
      <c r="B15" s="6"/>
      <c r="C15" s="12"/>
      <c r="G15" s="29"/>
      <c r="L15" s="31">
        <v>0.20833333333333301</v>
      </c>
    </row>
    <row r="16" spans="1:13">
      <c r="A16" s="6" t="s">
        <v>120</v>
      </c>
      <c r="B16" s="6"/>
      <c r="C16" s="12"/>
      <c r="G16" s="29"/>
      <c r="L16" s="31">
        <v>0.22916666666666699</v>
      </c>
    </row>
    <row r="17" spans="1:12" ht="15" customHeight="1">
      <c r="A17" s="26" t="s">
        <v>14</v>
      </c>
      <c r="B17" s="6" t="s">
        <v>37</v>
      </c>
      <c r="C17" s="12"/>
      <c r="F17" s="7" t="str">
        <f>IF(SUM(C54:J60)&gt;0,B53,"")</f>
        <v/>
      </c>
      <c r="G17" s="29" t="str">
        <f t="array" aca="1" ref="G17" ca="1">IF(ROW()-ROW(НетПустых)+1&gt;ROWS(ЕстьПустые)-COUNTBLANK(ЕстьПустые),"",INDIRECT(ADDRESS(SMALL((IF(ЕстьПустые&lt;&gt;"",ROW(ЕстьПустые),ROW()+ROWS(ЕстьПустые))),ROW()-ROW(НетПустых)+1),COLUMN(ЕстьПустые),4)))</f>
        <v>ПВ-1.7</v>
      </c>
      <c r="H17" s="36"/>
      <c r="L17" s="31">
        <v>0.25</v>
      </c>
    </row>
    <row r="18" spans="1:12">
      <c r="A18" s="2" t="s">
        <v>34</v>
      </c>
      <c r="B18" s="6" t="s">
        <v>38</v>
      </c>
      <c r="C18" s="12"/>
      <c r="F18" s="7" t="str">
        <f>IF(SUM(C64:J70)&gt;0,B63,"")</f>
        <v/>
      </c>
      <c r="G18" s="29" t="str">
        <f t="array" aca="1" ref="G18" ca="1">IF(ROW()-ROW(НетПустых)+1&gt;ROWS(ЕстьПустые)-COUNTBLANK(ЕстьПустые),"",INDIRECT(ADDRESS(SMALL((IF(ЕстьПустые&lt;&gt;"",ROW(ЕстьПустые),ROW()+ROWS(ЕстьПустые))),ROW()-ROW(НетПустых)+1),COLUMN(ЕстьПустые),4)))</f>
        <v/>
      </c>
      <c r="H18" s="36"/>
      <c r="L18" s="31">
        <v>0.27083333333333298</v>
      </c>
    </row>
    <row r="19" spans="1:12">
      <c r="A19" s="2" t="s">
        <v>66</v>
      </c>
      <c r="B19" s="6" t="s">
        <v>46</v>
      </c>
      <c r="C19" s="12"/>
      <c r="F19" s="7" t="str">
        <f>IF(SUM(C74:J80)&gt;0,B73,"")</f>
        <v/>
      </c>
      <c r="G19" s="29" t="str">
        <f t="array" aca="1" ref="G19" ca="1">IF(ROW()-ROW(НетПустых)+1&gt;ROWS(ЕстьПустые)-COUNTBLANK(ЕстьПустые),"",INDIRECT(ADDRESS(SMALL((IF(ЕстьПустые&lt;&gt;"",ROW(ЕстьПустые),ROW()+ROWS(ЕстьПустые))),ROW()-ROW(НетПустых)+1),COLUMN(ЕстьПустые),4)))</f>
        <v/>
      </c>
      <c r="H19" s="36"/>
      <c r="L19" s="31">
        <v>0.29166666666666702</v>
      </c>
    </row>
    <row r="20" spans="1:12">
      <c r="A20" s="2" t="s">
        <v>67</v>
      </c>
      <c r="B20" s="6" t="s">
        <v>47</v>
      </c>
      <c r="C20" s="12"/>
      <c r="F20" s="7" t="str">
        <f>IF(SUM(C84:J90)&gt;0,B83,"")</f>
        <v/>
      </c>
      <c r="G20" s="29" t="str">
        <f t="array" aca="1" ref="G20" ca="1">IF(ROW()-ROW(НетПустых)+1&gt;ROWS(ЕстьПустые)-COUNTBLANK(ЕстьПустые),"",INDIRECT(ADDRESS(SMALL((IF(ЕстьПустые&lt;&gt;"",ROW(ЕстьПустые),ROW()+ROWS(ЕстьПустые))),ROW()-ROW(НетПустых)+1),COLUMN(ЕстьПустые),4)))</f>
        <v/>
      </c>
      <c r="H20" s="36"/>
      <c r="L20" s="31">
        <v>0.3125</v>
      </c>
    </row>
    <row r="21" spans="1:12">
      <c r="A21" s="2" t="s">
        <v>68</v>
      </c>
      <c r="B21" s="6" t="s">
        <v>45</v>
      </c>
      <c r="C21" s="12"/>
      <c r="F21" s="7" t="str">
        <f>IF(SUM(C94:J100)&gt;0,B93,"")</f>
        <v/>
      </c>
      <c r="G21" s="29" t="str">
        <f t="array" aca="1" ref="G21" ca="1">IF(ROW()-ROW(НетПустых)+1&gt;ROWS(ЕстьПустые)-COUNTBLANK(ЕстьПустые),"",INDIRECT(ADDRESS(SMALL((IF(ЕстьПустые&lt;&gt;"",ROW(ЕстьПустые),ROW()+ROWS(ЕстьПустые))),ROW()-ROW(НетПустых)+1),COLUMN(ЕстьПустые),4)))</f>
        <v/>
      </c>
      <c r="H21" s="36"/>
      <c r="L21" s="31">
        <v>0.33333333333333298</v>
      </c>
    </row>
    <row r="22" spans="1:12">
      <c r="A22" s="2" t="s">
        <v>69</v>
      </c>
      <c r="B22" s="6" t="s">
        <v>44</v>
      </c>
      <c r="C22" s="12"/>
      <c r="F22" s="7" t="str">
        <f>IF(SUM(C104:J110)&gt;0,B103,"")</f>
        <v>ПВ-1.7</v>
      </c>
      <c r="G22" s="29" t="str">
        <f t="array" aca="1" ref="G22" ca="1">IF(ROW()-ROW(НетПустых)+1&gt;ROWS(ЕстьПустые)-COUNTBLANK(ЕстьПустые),"",INDIRECT(ADDRESS(SMALL((IF(ЕстьПустые&lt;&gt;"",ROW(ЕстьПустые),ROW()+ROWS(ЕстьПустые))),ROW()-ROW(НетПустых)+1),COLUMN(ЕстьПустые),4)))</f>
        <v/>
      </c>
      <c r="H22" s="36"/>
      <c r="L22" s="31">
        <v>0.35416666666666702</v>
      </c>
    </row>
    <row r="23" spans="1:12">
      <c r="A23" s="23" t="s">
        <v>16</v>
      </c>
      <c r="B23" s="6" t="s">
        <v>57</v>
      </c>
      <c r="C23" s="12"/>
      <c r="F23" s="7" t="str">
        <f>IF(SUM(C114:J120)&gt;0,B113,"")</f>
        <v/>
      </c>
      <c r="G23" s="29" t="str">
        <f t="array" aca="1" ref="G23" ca="1">IF(ROW()-ROW(НетПустых)+1&gt;ROWS(ЕстьПустые)-COUNTBLANK(ЕстьПустые),"",INDIRECT(ADDRESS(SMALL((IF(ЕстьПустые&lt;&gt;"",ROW(ЕстьПустые),ROW()+ROWS(ЕстьПустые))),ROW()-ROW(НетПустых)+1),COLUMN(ЕстьПустые),4)))</f>
        <v/>
      </c>
      <c r="H23" s="36"/>
      <c r="L23" s="31">
        <v>0.375</v>
      </c>
    </row>
    <row r="24" spans="1:12">
      <c r="A24" s="2" t="s">
        <v>17</v>
      </c>
      <c r="B24" s="6" t="s">
        <v>43</v>
      </c>
      <c r="C24" s="12"/>
      <c r="F24" s="7" t="str">
        <f>IF(SUM(C124:J130)&gt;0,B123,"")</f>
        <v/>
      </c>
      <c r="G24" s="29" t="str">
        <f t="array" aca="1" ref="G24" ca="1">IF(ROW()-ROW(НетПустых)+1&gt;ROWS(ЕстьПустые)-COUNTBLANK(ЕстьПустые),"",INDIRECT(ADDRESS(SMALL((IF(ЕстьПустые&lt;&gt;"",ROW(ЕстьПустые),ROW()+ROWS(ЕстьПустые))),ROW()-ROW(НетПустых)+1),COLUMN(ЕстьПустые),4)))</f>
        <v/>
      </c>
      <c r="H24" s="36"/>
      <c r="L24" s="31">
        <v>0.39583333333333298</v>
      </c>
    </row>
    <row r="25" spans="1:12">
      <c r="A25" s="2" t="s">
        <v>18</v>
      </c>
      <c r="B25" s="6" t="s">
        <v>48</v>
      </c>
      <c r="C25" s="12"/>
      <c r="F25" s="7" t="str">
        <f>IF(SUM(C134:J140)&gt;0,B133,"")</f>
        <v/>
      </c>
      <c r="G25" s="29" t="str">
        <f t="array" aca="1" ref="G25" ca="1">IF(ROW()-ROW(НетПустых)+1&gt;ROWS(ЕстьПустые)-COUNTBLANK(ЕстьПустые),"",INDIRECT(ADDRESS(SMALL((IF(ЕстьПустые&lt;&gt;"",ROW(ЕстьПустые),ROW()+ROWS(ЕстьПустые))),ROW()-ROW(НетПустых)+1),COLUMN(ЕстьПустые),4)))</f>
        <v/>
      </c>
      <c r="H25" s="36"/>
      <c r="L25" s="31">
        <v>0.41666666666666702</v>
      </c>
    </row>
    <row r="26" spans="1:12">
      <c r="A26" s="2" t="s">
        <v>19</v>
      </c>
      <c r="B26" s="6" t="s">
        <v>58</v>
      </c>
      <c r="C26" s="12"/>
      <c r="F26" s="7" t="str">
        <f>IF(SUM(C144:J150)&gt;0,B143,"")</f>
        <v/>
      </c>
      <c r="G26" s="29" t="str">
        <f t="array" aca="1" ref="G26" ca="1">IF(ROW()-ROW(НетПустых)+1&gt;ROWS(ЕстьПустые)-COUNTBLANK(ЕстьПустые),"",INDIRECT(ADDRESS(SMALL((IF(ЕстьПустые&lt;&gt;"",ROW(ЕстьПустые),ROW()+ROWS(ЕстьПустые))),ROW()-ROW(НетПустых)+1),COLUMN(ЕстьПустые),4)))</f>
        <v/>
      </c>
      <c r="H26" s="36"/>
      <c r="L26" s="31">
        <v>0.4375</v>
      </c>
    </row>
    <row r="27" spans="1:12">
      <c r="A27" s="2" t="s">
        <v>15</v>
      </c>
      <c r="B27" s="6" t="s">
        <v>39</v>
      </c>
      <c r="C27" s="12"/>
      <c r="F27" s="7" t="str">
        <f>IF(SUM(C154:J160)&gt;0,B153,"")</f>
        <v/>
      </c>
      <c r="G27" s="29" t="str">
        <f t="array" aca="1" ref="G27" ca="1">IF(ROW()-ROW(НетПустых)+1&gt;ROWS(ЕстьПустые)-COUNTBLANK(ЕстьПустые),"",INDIRECT(ADDRESS(SMALL((IF(ЕстьПустые&lt;&gt;"",ROW(ЕстьПустые),ROW()+ROWS(ЕстьПустые))),ROW()-ROW(НетПустых)+1),COLUMN(ЕстьПустые),4)))</f>
        <v/>
      </c>
      <c r="H27" s="36"/>
      <c r="L27" s="31">
        <v>0.45833333333333298</v>
      </c>
    </row>
    <row r="28" spans="1:12">
      <c r="A28" s="2" t="s">
        <v>24</v>
      </c>
      <c r="B28" s="6" t="s">
        <v>51</v>
      </c>
      <c r="C28" s="12"/>
      <c r="F28" s="7" t="str">
        <f>IF(SUM(C164:J170)&gt;0,B163,"")</f>
        <v/>
      </c>
      <c r="G28" s="29" t="str">
        <f t="array" aca="1" ref="G28" ca="1">IF(ROW()-ROW(НетПустых)+1&gt;ROWS(ЕстьПустые)-COUNTBLANK(ЕстьПустые),"",INDIRECT(ADDRESS(SMALL((IF(ЕстьПустые&lt;&gt;"",ROW(ЕстьПустые),ROW()+ROWS(ЕстьПустые))),ROW()-ROW(НетПустых)+1),COLUMN(ЕстьПустые),4)))</f>
        <v/>
      </c>
      <c r="H28" s="36"/>
      <c r="L28" s="31">
        <v>0.47916666666666702</v>
      </c>
    </row>
    <row r="29" spans="1:12">
      <c r="A29" s="2" t="s">
        <v>25</v>
      </c>
      <c r="B29" s="6" t="s">
        <v>50</v>
      </c>
      <c r="C29" s="12"/>
      <c r="F29" s="7" t="str">
        <f>IF(SUM(C174:J180)&gt;0,B173,"")</f>
        <v/>
      </c>
      <c r="G29" s="29" t="str">
        <f t="array" aca="1" ref="G29" ca="1">IF(ROW()-ROW(НетПустых)+1&gt;ROWS(ЕстьПустые)-COUNTBLANK(ЕстьПустые),"",INDIRECT(ADDRESS(SMALL((IF(ЕстьПустые&lt;&gt;"",ROW(ЕстьПустые),ROW()+ROWS(ЕстьПустые))),ROW()-ROW(НетПустых)+1),COLUMN(ЕстьПустые),4)))</f>
        <v/>
      </c>
      <c r="H29" s="36"/>
      <c r="L29" s="31">
        <v>0.5</v>
      </c>
    </row>
    <row r="30" spans="1:12">
      <c r="A30" s="2" t="s">
        <v>26</v>
      </c>
      <c r="B30" s="6" t="s">
        <v>40</v>
      </c>
      <c r="C30" s="12"/>
      <c r="F30" s="7" t="str">
        <f>IF(SUM(C180:J184)&gt;0,B183,"")</f>
        <v/>
      </c>
      <c r="G30" s="29" t="str">
        <f t="array" aca="1" ref="G30" ca="1">IF(ROW()-ROW(НетПустых)+1&gt;ROWS(ЕстьПустые)-COUNTBLANK(ЕстьПустые),"",INDIRECT(ADDRESS(SMALL((IF(ЕстьПустые&lt;&gt;"",ROW(ЕстьПустые),ROW()+ROWS(ЕстьПустые))),ROW()-ROW(НетПустых)+1),COLUMN(ЕстьПустые),4)))</f>
        <v/>
      </c>
      <c r="H30" s="36"/>
      <c r="L30" s="31">
        <v>0.52083333333333304</v>
      </c>
    </row>
    <row r="31" spans="1:12">
      <c r="A31" s="2" t="s">
        <v>27</v>
      </c>
      <c r="B31" s="6" t="s">
        <v>41</v>
      </c>
      <c r="C31" s="12"/>
      <c r="F31" s="7" t="str">
        <f>IF(SUM(C194:J200)&gt;0,B193,"")</f>
        <v/>
      </c>
      <c r="G31" s="29" t="str">
        <f t="array" aca="1" ref="G31" ca="1">IF(ROW()-ROW(НетПустых)+1&gt;ROWS(ЕстьПустые)-COUNTBLANK(ЕстьПустые),"",INDIRECT(ADDRESS(SMALL((IF(ЕстьПустые&lt;&gt;"",ROW(ЕстьПустые),ROW()+ROWS(ЕстьПустые))),ROW()-ROW(НетПустых)+1),COLUMN(ЕстьПустые),4)))</f>
        <v/>
      </c>
      <c r="H31" s="36"/>
      <c r="L31" s="31">
        <v>0.54166666666666696</v>
      </c>
    </row>
    <row r="32" spans="1:12">
      <c r="A32" s="2" t="s">
        <v>0</v>
      </c>
      <c r="B32" s="6" t="s">
        <v>42</v>
      </c>
      <c r="C32" s="12"/>
      <c r="F32" s="7" t="str">
        <f>IF(SUM(C204:J210)&gt;0,B203,"")</f>
        <v/>
      </c>
      <c r="G32" s="29" t="str">
        <f t="array" aca="1" ref="G32" ca="1">IF(ROW()-ROW(НетПустых)+1&gt;ROWS(ЕстьПустые)-COUNTBLANK(ЕстьПустые),"",INDIRECT(ADDRESS(SMALL((IF(ЕстьПустые&lt;&gt;"",ROW(ЕстьПустые),ROW()+ROWS(ЕстьПустые))),ROW()-ROW(НетПустых)+1),COLUMN(ЕстьПустые),4)))</f>
        <v/>
      </c>
      <c r="H32" s="36"/>
      <c r="L32" s="31">
        <v>0.5625</v>
      </c>
    </row>
    <row r="33" spans="1:12">
      <c r="A33" s="2" t="s">
        <v>1</v>
      </c>
      <c r="B33" s="6" t="s">
        <v>42</v>
      </c>
      <c r="C33" s="12"/>
      <c r="F33" s="7" t="str">
        <f>IF(SUM(C214:J220)&gt;0,B213,"")</f>
        <v/>
      </c>
      <c r="G33" s="29" t="str">
        <f t="array" aca="1" ref="G33" ca="1">IF(ROW()-ROW(НетПустых)+1&gt;ROWS(ЕстьПустые)-COUNTBLANK(ЕстьПустые),"",INDIRECT(ADDRESS(SMALL((IF(ЕстьПустые&lt;&gt;"",ROW(ЕстьПустые),ROW()+ROWS(ЕстьПустые))),ROW()-ROW(НетПустых)+1),COLUMN(ЕстьПустые),4)))</f>
        <v/>
      </c>
      <c r="H33" s="36"/>
      <c r="L33" s="31">
        <v>0.58333333333333304</v>
      </c>
    </row>
    <row r="34" spans="1:12">
      <c r="A34" s="2" t="s">
        <v>2</v>
      </c>
      <c r="B34" s="6" t="s">
        <v>61</v>
      </c>
      <c r="C34" s="12"/>
      <c r="F34" s="7" t="str">
        <f>IF(SUM(C224:J230)&gt;0,B223,"")</f>
        <v/>
      </c>
      <c r="G34" s="29" t="str">
        <f t="array" aca="1" ref="G34" ca="1">IF(ROW()-ROW(НетПустых)+1&gt;ROWS(ЕстьПустые)-COUNTBLANK(ЕстьПустые),"",INDIRECT(ADDRESS(SMALL((IF(ЕстьПустые&lt;&gt;"",ROW(ЕстьПустые),ROW()+ROWS(ЕстьПустые))),ROW()-ROW(НетПустых)+1),COLUMN(ЕстьПустые),4)))</f>
        <v/>
      </c>
      <c r="H34" s="36"/>
      <c r="L34" s="31">
        <v>0.60416666666666696</v>
      </c>
    </row>
    <row r="35" spans="1:12">
      <c r="A35" s="2" t="s">
        <v>4</v>
      </c>
      <c r="B35" s="6" t="s">
        <v>59</v>
      </c>
      <c r="C35" s="12"/>
      <c r="F35" s="7" t="str">
        <f>IF(SUM(C234:J240)&gt;0,B233,"")</f>
        <v/>
      </c>
      <c r="G35" s="29" t="str">
        <f t="array" aca="1" ref="G35" ca="1">IF(ROW()-ROW(НетПустых)+1&gt;ROWS(ЕстьПустые)-COUNTBLANK(ЕстьПустые),"",INDIRECT(ADDRESS(SMALL((IF(ЕстьПустые&lt;&gt;"",ROW(ЕстьПустые),ROW()+ROWS(ЕстьПустые))),ROW()-ROW(НетПустых)+1),COLUMN(ЕстьПустые),4)))</f>
        <v/>
      </c>
      <c r="H35" s="36"/>
      <c r="L35" s="31">
        <v>0.625</v>
      </c>
    </row>
    <row r="36" spans="1:12">
      <c r="A36" s="2" t="s">
        <v>28</v>
      </c>
      <c r="B36" s="6" t="s">
        <v>52</v>
      </c>
      <c r="C36" s="12"/>
      <c r="F36" s="7" t="str">
        <f>IF(SUM(C244:J250)&gt;0,B243,"")</f>
        <v/>
      </c>
      <c r="G36" s="29" t="str">
        <f t="array" aca="1" ref="G36" ca="1">IF(ROW()-ROW(НетПустых)+1&gt;ROWS(ЕстьПустые)-COUNTBLANK(ЕстьПустые),"",INDIRECT(ADDRESS(SMALL((IF(ЕстьПустые&lt;&gt;"",ROW(ЕстьПустые),ROW()+ROWS(ЕстьПустые))),ROW()-ROW(НетПустых)+1),COLUMN(ЕстьПустые),4)))</f>
        <v/>
      </c>
      <c r="H36" s="36"/>
      <c r="L36" s="31">
        <v>0.64583333333333304</v>
      </c>
    </row>
    <row r="37" spans="1:12">
      <c r="A37" s="2" t="s">
        <v>115</v>
      </c>
      <c r="B37" s="6" t="s">
        <v>53</v>
      </c>
      <c r="C37" s="12"/>
      <c r="F37" s="7" t="str">
        <f>IF(SUM(C254:J260)&gt;0,B253,"")</f>
        <v/>
      </c>
      <c r="G37" s="29" t="str">
        <f t="array" aca="1" ref="G37" ca="1">IF(ROW()-ROW(НетПустых)+1&gt;ROWS(ЕстьПустые)-COUNTBLANK(ЕстьПустые),"",INDIRECT(ADDRESS(SMALL((IF(ЕстьПустые&lt;&gt;"",ROW(ЕстьПустые),ROW()+ROWS(ЕстьПустые))),ROW()-ROW(НетПустых)+1),COLUMN(ЕстьПустые),4)))</f>
        <v/>
      </c>
      <c r="H37" s="36"/>
      <c r="L37" s="31">
        <v>0.66666666666666696</v>
      </c>
    </row>
    <row r="38" spans="1:12">
      <c r="A38" s="2" t="s">
        <v>29</v>
      </c>
      <c r="B38" s="6" t="s">
        <v>54</v>
      </c>
      <c r="C38" s="12"/>
      <c r="F38" s="7" t="str">
        <f>IF(SUM(C264:J270)&gt;0,B263,"")</f>
        <v/>
      </c>
      <c r="G38" s="29" t="str">
        <f t="array" aca="1" ref="G38" ca="1">IF(ROW()-ROW(НетПустых)+1&gt;ROWS(ЕстьПустые)-COUNTBLANK(ЕстьПустые),"",INDIRECT(ADDRESS(SMALL((IF(ЕстьПустые&lt;&gt;"",ROW(ЕстьПустые),ROW()+ROWS(ЕстьПустые))),ROW()-ROW(НетПустых)+1),COLUMN(ЕстьПустые),4)))</f>
        <v/>
      </c>
      <c r="H38" s="36"/>
      <c r="L38" s="31">
        <v>0.6875</v>
      </c>
    </row>
    <row r="39" spans="1:12">
      <c r="A39" s="2" t="s">
        <v>30</v>
      </c>
      <c r="B39" s="6" t="s">
        <v>56</v>
      </c>
      <c r="C39" s="12"/>
      <c r="F39" s="7" t="str">
        <f>IF(SUM(C274:J280)&gt;0,B273,"")</f>
        <v/>
      </c>
      <c r="G39" s="29" t="str">
        <f t="array" aca="1" ref="G39" ca="1">IF(ROW()-ROW(НетПустых)+1&gt;ROWS(ЕстьПустые)-COUNTBLANK(ЕстьПустые),"",INDIRECT(ADDRESS(SMALL((IF(ЕстьПустые&lt;&gt;"",ROW(ЕстьПустые),ROW()+ROWS(ЕстьПустые))),ROW()-ROW(НетПустых)+1),COLUMN(ЕстьПустые),4)))</f>
        <v/>
      </c>
      <c r="H39" s="36"/>
      <c r="L39" s="31">
        <v>0.70833333333333304</v>
      </c>
    </row>
    <row r="40" spans="1:12">
      <c r="A40" s="2" t="s">
        <v>31</v>
      </c>
      <c r="B40" s="6" t="s">
        <v>49</v>
      </c>
      <c r="C40" s="12"/>
      <c r="F40" s="7" t="str">
        <f>IF(SUM(C284:J290)&gt;0,B283,"")</f>
        <v/>
      </c>
      <c r="G40" s="29" t="str">
        <f t="array" aca="1" ref="G40" ca="1">IF(ROW()-ROW(НетПустых)+1&gt;ROWS(ЕстьПустые)-COUNTBLANK(ЕстьПустые),"",INDIRECT(ADDRESS(SMALL((IF(ЕстьПустые&lt;&gt;"",ROW(ЕстьПустые),ROW()+ROWS(ЕстьПустые))),ROW()-ROW(НетПустых)+1),COLUMN(ЕстьПустые),4)))</f>
        <v/>
      </c>
      <c r="H40" s="36"/>
      <c r="L40" s="31">
        <v>0.72916666666666696</v>
      </c>
    </row>
    <row r="41" spans="1:12">
      <c r="A41" s="2" t="s">
        <v>20</v>
      </c>
      <c r="B41" s="6" t="s">
        <v>62</v>
      </c>
      <c r="C41" s="12"/>
      <c r="F41" s="7" t="str">
        <f>IF(SUM(C294:J300)&gt;0,B293,"")</f>
        <v/>
      </c>
      <c r="G41" s="29" t="str">
        <f t="array" aca="1" ref="G41" ca="1">IF(ROW()-ROW(НетПустых)+1&gt;ROWS(ЕстьПустые)-COUNTBLANK(ЕстьПустые),"",INDIRECT(ADDRESS(SMALL((IF(ЕстьПустые&lt;&gt;"",ROW(ЕстьПустые),ROW()+ROWS(ЕстьПустые))),ROW()-ROW(НетПустых)+1),COLUMN(ЕстьПустые),4)))</f>
        <v/>
      </c>
      <c r="H41" s="36"/>
      <c r="L41" s="31">
        <v>0.75</v>
      </c>
    </row>
    <row r="42" spans="1:12">
      <c r="A42" s="2" t="s">
        <v>21</v>
      </c>
      <c r="B42" s="6" t="s">
        <v>63</v>
      </c>
      <c r="C42" s="12"/>
      <c r="F42" s="7" t="str">
        <f>IF(SUM(C304:J310)&gt;0,B303,"")</f>
        <v/>
      </c>
      <c r="G42" s="29" t="str">
        <f t="array" aca="1" ref="G42" ca="1">IF(ROW()-ROW(НетПустых)+1&gt;ROWS(ЕстьПустые)-COUNTBLANK(ЕстьПустые),"",INDIRECT(ADDRESS(SMALL((IF(ЕстьПустые&lt;&gt;"",ROW(ЕстьПустые),ROW()+ROWS(ЕстьПустые))),ROW()-ROW(НетПустых)+1),COLUMN(ЕстьПустые),4)))</f>
        <v/>
      </c>
      <c r="H42" s="36"/>
      <c r="L42" s="31">
        <v>0.77083333333333304</v>
      </c>
    </row>
    <row r="43" spans="1:12">
      <c r="A43" s="2" t="s">
        <v>22</v>
      </c>
      <c r="B43" s="6" t="s">
        <v>55</v>
      </c>
      <c r="C43" s="12"/>
      <c r="F43" s="7" t="str">
        <f>IF(SUM(C314:J320)&gt;0,B313,"")</f>
        <v/>
      </c>
      <c r="G43" s="29" t="str">
        <f t="array" aca="1" ref="G43" ca="1">IF(ROW()-ROW(НетПустых)+1&gt;ROWS(ЕстьПустые)-COUNTBLANK(ЕстьПустые),"",INDIRECT(ADDRESS(SMALL((IF(ЕстьПустые&lt;&gt;"",ROW(ЕстьПустые),ROW()+ROWS(ЕстьПустые))),ROW()-ROW(НетПустых)+1),COLUMN(ЕстьПустые),4)))</f>
        <v/>
      </c>
      <c r="H43" s="36"/>
      <c r="L43" s="31">
        <v>0.79166666666666696</v>
      </c>
    </row>
    <row r="44" spans="1:12">
      <c r="A44" s="2" t="s">
        <v>23</v>
      </c>
      <c r="B44" s="6" t="s">
        <v>60</v>
      </c>
      <c r="C44" s="12"/>
      <c r="F44" s="7" t="str">
        <f>IF(SUM(C324:J330)&gt;0,B323,"")</f>
        <v/>
      </c>
      <c r="G44" s="29" t="str">
        <f t="array" aca="1" ref="G44" ca="1">IF(ROW()-ROW(НетПустых)+1&gt;ROWS(ЕстьПустые)-COUNTBLANK(ЕстьПустые),"",INDIRECT(ADDRESS(SMALL((IF(ЕстьПустые&lt;&gt;"",ROW(ЕстьПустые),ROW()+ROWS(ЕстьПустые))),ROW()-ROW(НетПустых)+1),COLUMN(ЕстьПустые),4)))</f>
        <v/>
      </c>
      <c r="H44" s="36"/>
      <c r="L44" s="31">
        <v>0.8125</v>
      </c>
    </row>
    <row r="45" spans="1:12">
      <c r="A45" s="2" t="s">
        <v>32</v>
      </c>
      <c r="B45" s="6" t="s">
        <v>64</v>
      </c>
      <c r="C45" s="12"/>
      <c r="F45" s="7" t="str">
        <f>IF(SUM(C334:J340)&gt;0,B333,"")</f>
        <v/>
      </c>
      <c r="G45" s="29" t="str">
        <f t="array" aca="1" ref="G45" ca="1">IF(ROW()-ROW(НетПустых)+1&gt;ROWS(ЕстьПустые)-COUNTBLANK(ЕстьПустые),"",INDIRECT(ADDRESS(SMALL((IF(ЕстьПустые&lt;&gt;"",ROW(ЕстьПустые),ROW()+ROWS(ЕстьПустые))),ROW()-ROW(НетПустых)+1),COLUMN(ЕстьПустые),4)))</f>
        <v/>
      </c>
      <c r="H45" s="36"/>
      <c r="L45" s="31">
        <v>0.83333333333333304</v>
      </c>
    </row>
    <row r="46" spans="1:12">
      <c r="A46" s="2" t="s">
        <v>33</v>
      </c>
      <c r="B46" s="6" t="s">
        <v>65</v>
      </c>
      <c r="C46" s="12"/>
      <c r="F46" s="7" t="str">
        <f>IF(SUM(C344:J350)&gt;0,B343,"")</f>
        <v/>
      </c>
      <c r="G46" s="29" t="str">
        <f t="array" aca="1" ref="G46" ca="1">IF(ROW()-ROW(НетПустых)+1&gt;ROWS(ЕстьПустые)-COUNTBLANK(ЕстьПустые),"",INDIRECT(ADDRESS(SMALL((IF(ЕстьПустые&lt;&gt;"",ROW(ЕстьПустые),ROW()+ROWS(ЕстьПустые))),ROW()-ROW(НетПустых)+1),COLUMN(ЕстьПустые),4)))</f>
        <v/>
      </c>
      <c r="H46" s="36"/>
      <c r="L46" s="31">
        <v>0.85416666666666696</v>
      </c>
    </row>
    <row r="47" spans="1:12">
      <c r="A47" s="2" t="s">
        <v>35</v>
      </c>
      <c r="B47" s="6" t="s">
        <v>43</v>
      </c>
      <c r="C47" s="12"/>
      <c r="F47" s="7" t="str">
        <f>IF(SUM(C354:J360)&gt;0,B353,"")</f>
        <v/>
      </c>
      <c r="G47" s="29" t="str">
        <f t="array" aca="1" ref="G47" ca="1">IF(ROW()-ROW(НетПустых)+1&gt;ROWS(ЕстьПустые)-COUNTBLANK(ЕстьПустые),"",INDIRECT(ADDRESS(SMALL((IF(ЕстьПустые&lt;&gt;"",ROW(ЕстьПустые),ROW()+ROWS(ЕстьПустые))),ROW()-ROW(НетПустых)+1),COLUMN(ЕстьПустые),4)))</f>
        <v/>
      </c>
      <c r="H47" s="36"/>
      <c r="L47" s="31">
        <v>0.875</v>
      </c>
    </row>
    <row r="48" spans="1:12" s="6" customFormat="1">
      <c r="A48" s="6" t="s">
        <v>116</v>
      </c>
      <c r="B48" s="6" t="s">
        <v>58</v>
      </c>
      <c r="C48" s="12"/>
      <c r="E48" s="7"/>
      <c r="F48" s="7" t="str">
        <f>IF(SUM(C364:J370)&gt;0,B363,"")</f>
        <v/>
      </c>
      <c r="G48" s="29" t="str">
        <f t="array" aca="1" ref="G48" ca="1">IF(ROW()-ROW(НетПустых)+1&gt;ROWS(ЕстьПустые)-COUNTBLANK(ЕстьПустые),"",INDIRECT(ADDRESS(SMALL((IF(ЕстьПустые&lt;&gt;"",ROW(ЕстьПустые),ROW()+ROWS(ЕстьПустые))),ROW()-ROW(НетПустых)+1),COLUMN(ЕстьПустые),4)))</f>
        <v/>
      </c>
      <c r="H48" s="36"/>
      <c r="J48" s="21"/>
      <c r="L48" s="31">
        <v>0.89583333333333304</v>
      </c>
    </row>
    <row r="49" spans="1:12" s="6" customFormat="1">
      <c r="A49" s="6" t="s">
        <v>103</v>
      </c>
      <c r="B49" s="6" t="s">
        <v>105</v>
      </c>
      <c r="C49" s="12"/>
      <c r="E49" s="7"/>
      <c r="F49" s="7" t="str">
        <f>IF(SUM(C374:J380)&gt;0,B373,"")</f>
        <v/>
      </c>
      <c r="G49" s="29" t="str">
        <f t="array" aca="1" ref="G49" ca="1">IF(ROW()-ROW(НетПустых)+1&gt;ROWS(ЕстьПустые)-COUNTBLANK(ЕстьПустые),"",INDIRECT(ADDRESS(SMALL((IF(ЕстьПустые&lt;&gt;"",ROW(ЕстьПустые),ROW()+ROWS(ЕстьПустые))),ROW()-ROW(НетПустых)+1),COLUMN(ЕстьПустые),4)))</f>
        <v/>
      </c>
      <c r="H49" s="36"/>
      <c r="J49" s="21"/>
      <c r="L49" s="31">
        <v>0.91666666666666696</v>
      </c>
    </row>
    <row r="50" spans="1:12" s="6" customFormat="1">
      <c r="C50" s="12"/>
      <c r="G50" s="12"/>
      <c r="J50" s="21"/>
      <c r="L50" s="31">
        <v>0.9375</v>
      </c>
    </row>
    <row r="51" spans="1:12" s="6" customFormat="1">
      <c r="C51" s="12"/>
      <c r="G51" s="12"/>
      <c r="J51" s="21"/>
      <c r="L51" s="31">
        <v>0.95833333333333304</v>
      </c>
    </row>
    <row r="52" spans="1:12" s="6" customFormat="1">
      <c r="C52" s="12"/>
      <c r="G52" s="12"/>
      <c r="J52" s="21"/>
      <c r="L52" s="31">
        <v>0.97916666666666696</v>
      </c>
    </row>
    <row r="53" spans="1:12" s="6" customFormat="1">
      <c r="B53" s="6" t="s">
        <v>14</v>
      </c>
      <c r="C53" s="12"/>
      <c r="D53" s="14" t="s">
        <v>101</v>
      </c>
      <c r="G53" s="12"/>
      <c r="J53" s="21"/>
      <c r="L53" s="31"/>
    </row>
    <row r="54" spans="1:12" s="6" customFormat="1">
      <c r="B54" s="8" t="s">
        <v>8</v>
      </c>
      <c r="C54" s="9"/>
      <c r="D54" s="9"/>
      <c r="E54" s="10"/>
      <c r="F54" s="11"/>
      <c r="G54" s="9"/>
      <c r="H54" s="10"/>
      <c r="I54" s="11"/>
      <c r="J54" s="18"/>
      <c r="L54" s="31"/>
    </row>
    <row r="55" spans="1:12" s="6" customFormat="1">
      <c r="B55" s="8" t="s">
        <v>7</v>
      </c>
      <c r="C55" s="9"/>
      <c r="D55" s="9"/>
      <c r="E55" s="10"/>
      <c r="F55" s="11"/>
      <c r="G55" s="9"/>
      <c r="H55" s="10"/>
      <c r="I55" s="11"/>
      <c r="J55" s="18"/>
      <c r="L55" s="31"/>
    </row>
    <row r="56" spans="1:12" s="6" customFormat="1">
      <c r="B56" s="8" t="s">
        <v>9</v>
      </c>
      <c r="C56" s="9"/>
      <c r="D56" s="9"/>
      <c r="E56" s="10"/>
      <c r="F56" s="11"/>
      <c r="G56" s="9"/>
      <c r="H56" s="10"/>
      <c r="I56" s="11"/>
      <c r="J56" s="18"/>
      <c r="L56" s="31"/>
    </row>
    <row r="57" spans="1:12" s="6" customFormat="1">
      <c r="B57" s="8" t="s">
        <v>10</v>
      </c>
      <c r="C57" s="9"/>
      <c r="D57" s="9"/>
      <c r="E57" s="10"/>
      <c r="F57" s="11"/>
      <c r="G57" s="9"/>
      <c r="H57" s="10"/>
      <c r="I57" s="11"/>
      <c r="J57" s="18"/>
      <c r="L57" s="31"/>
    </row>
    <row r="58" spans="1:12" s="6" customFormat="1">
      <c r="B58" s="8" t="s">
        <v>13</v>
      </c>
      <c r="C58" s="9"/>
      <c r="D58" s="9"/>
      <c r="E58" s="10"/>
      <c r="F58" s="11"/>
      <c r="G58" s="9"/>
      <c r="H58" s="10"/>
      <c r="I58" s="11"/>
      <c r="J58" s="18"/>
      <c r="L58" s="31"/>
    </row>
    <row r="59" spans="1:12" s="6" customFormat="1">
      <c r="B59" s="8" t="s">
        <v>12</v>
      </c>
      <c r="C59" s="9"/>
      <c r="D59" s="9"/>
      <c r="E59" s="10"/>
      <c r="F59" s="11"/>
      <c r="G59" s="9"/>
      <c r="H59" s="10"/>
      <c r="I59" s="11"/>
      <c r="J59" s="18"/>
      <c r="L59" s="31"/>
    </row>
    <row r="60" spans="1:12" s="6" customFormat="1">
      <c r="B60" s="8" t="s">
        <v>11</v>
      </c>
      <c r="C60" s="9"/>
      <c r="D60" s="9"/>
      <c r="E60" s="10"/>
      <c r="F60" s="11"/>
      <c r="G60" s="9"/>
      <c r="H60" s="10"/>
      <c r="I60" s="11"/>
      <c r="J60" s="18"/>
      <c r="L60" s="31"/>
    </row>
    <row r="61" spans="1:12" s="6" customFormat="1">
      <c r="C61" s="12"/>
      <c r="G61" s="12"/>
      <c r="J61" s="21"/>
      <c r="L61" s="31"/>
    </row>
    <row r="62" spans="1:12" s="6" customFormat="1">
      <c r="C62" s="12"/>
      <c r="G62" s="12"/>
      <c r="J62" s="21"/>
      <c r="L62" s="31"/>
    </row>
    <row r="63" spans="1:12" s="6" customFormat="1">
      <c r="B63" s="6" t="s">
        <v>34</v>
      </c>
      <c r="C63" s="12"/>
      <c r="D63" s="6" t="s">
        <v>102</v>
      </c>
      <c r="G63" s="12"/>
      <c r="J63" s="21"/>
      <c r="L63" s="31"/>
    </row>
    <row r="64" spans="1:12" s="6" customFormat="1">
      <c r="B64" s="8" t="s">
        <v>8</v>
      </c>
      <c r="C64" s="9"/>
      <c r="D64" s="12"/>
      <c r="E64" s="13"/>
      <c r="F64" s="13"/>
      <c r="G64" s="12"/>
      <c r="H64" s="13"/>
      <c r="I64" s="13"/>
      <c r="J64" s="22"/>
      <c r="L64" s="31"/>
    </row>
    <row r="65" spans="2:12" s="6" customFormat="1">
      <c r="B65" s="8" t="s">
        <v>7</v>
      </c>
      <c r="C65" s="9"/>
      <c r="D65" s="9"/>
      <c r="E65" s="10"/>
      <c r="F65" s="10"/>
      <c r="G65" s="9"/>
      <c r="H65" s="10"/>
      <c r="I65" s="10"/>
      <c r="J65" s="18"/>
      <c r="L65" s="31"/>
    </row>
    <row r="66" spans="2:12" s="6" customFormat="1">
      <c r="B66" s="8" t="s">
        <v>9</v>
      </c>
      <c r="C66" s="9"/>
      <c r="D66" s="9"/>
      <c r="E66" s="10"/>
      <c r="F66" s="10"/>
      <c r="G66" s="9"/>
      <c r="H66" s="10"/>
      <c r="I66" s="10"/>
      <c r="J66" s="18"/>
      <c r="L66" s="31"/>
    </row>
    <row r="67" spans="2:12" s="6" customFormat="1">
      <c r="B67" s="8" t="s">
        <v>10</v>
      </c>
      <c r="C67" s="9"/>
      <c r="D67" s="9"/>
      <c r="E67" s="10"/>
      <c r="F67" s="10"/>
      <c r="G67" s="9"/>
      <c r="H67" s="10"/>
      <c r="I67" s="10"/>
      <c r="J67" s="18"/>
      <c r="L67" s="31"/>
    </row>
    <row r="68" spans="2:12" s="6" customFormat="1">
      <c r="B68" s="8" t="s">
        <v>13</v>
      </c>
      <c r="C68" s="9"/>
      <c r="D68" s="9"/>
      <c r="E68" s="10"/>
      <c r="F68" s="10"/>
      <c r="G68" s="9"/>
      <c r="H68" s="10"/>
      <c r="I68" s="10"/>
      <c r="J68" s="18"/>
      <c r="L68" s="31"/>
    </row>
    <row r="69" spans="2:12" s="6" customFormat="1">
      <c r="B69" s="8" t="s">
        <v>12</v>
      </c>
      <c r="C69" s="9"/>
      <c r="D69" s="9"/>
      <c r="E69" s="10"/>
      <c r="F69" s="10"/>
      <c r="G69" s="9"/>
      <c r="H69" s="10"/>
      <c r="I69" s="10"/>
      <c r="J69" s="18"/>
      <c r="L69" s="31"/>
    </row>
    <row r="70" spans="2:12" s="6" customFormat="1">
      <c r="B70" s="8" t="s">
        <v>11</v>
      </c>
      <c r="C70" s="9"/>
      <c r="D70" s="9"/>
      <c r="E70" s="10"/>
      <c r="F70" s="10"/>
      <c r="G70" s="9"/>
      <c r="H70" s="10"/>
      <c r="I70" s="10"/>
      <c r="J70" s="18"/>
      <c r="L70" s="31"/>
    </row>
    <row r="71" spans="2:12" s="6" customFormat="1">
      <c r="B71" s="8"/>
      <c r="C71" s="9"/>
      <c r="D71" s="9"/>
      <c r="E71" s="10"/>
      <c r="F71" s="11"/>
      <c r="G71" s="9"/>
      <c r="H71" s="10"/>
      <c r="I71" s="11"/>
      <c r="J71" s="18"/>
      <c r="L71" s="31"/>
    </row>
    <row r="72" spans="2:12" s="6" customFormat="1">
      <c r="C72" s="12"/>
      <c r="G72" s="12"/>
      <c r="J72" s="21"/>
      <c r="L72" s="31"/>
    </row>
    <row r="73" spans="2:12" s="6" customFormat="1">
      <c r="B73" s="6" t="s">
        <v>66</v>
      </c>
      <c r="C73" s="12"/>
      <c r="D73" s="6" t="s">
        <v>79</v>
      </c>
      <c r="G73" s="12"/>
      <c r="J73" s="21"/>
      <c r="L73" s="31"/>
    </row>
    <row r="74" spans="2:12" s="6" customFormat="1">
      <c r="B74" s="8" t="s">
        <v>8</v>
      </c>
      <c r="C74" s="9"/>
      <c r="D74" s="12"/>
      <c r="E74" s="13"/>
      <c r="F74" s="13"/>
      <c r="G74" s="12"/>
      <c r="H74" s="13"/>
      <c r="I74" s="13"/>
      <c r="J74" s="22"/>
      <c r="L74" s="31"/>
    </row>
    <row r="75" spans="2:12" s="6" customFormat="1">
      <c r="B75" s="8" t="s">
        <v>7</v>
      </c>
      <c r="C75" s="9"/>
      <c r="D75" s="9"/>
      <c r="E75" s="10"/>
      <c r="F75" s="10"/>
      <c r="G75" s="9"/>
      <c r="H75" s="10"/>
      <c r="I75" s="10"/>
      <c r="J75" s="18"/>
      <c r="L75" s="31"/>
    </row>
    <row r="76" spans="2:12" s="6" customFormat="1">
      <c r="B76" s="8" t="s">
        <v>9</v>
      </c>
      <c r="C76" s="9"/>
      <c r="D76" s="9"/>
      <c r="E76" s="10"/>
      <c r="F76" s="10"/>
      <c r="G76" s="9"/>
      <c r="H76" s="10"/>
      <c r="I76" s="10"/>
      <c r="J76" s="18"/>
      <c r="L76" s="31"/>
    </row>
    <row r="77" spans="2:12" s="6" customFormat="1">
      <c r="B77" s="8" t="s">
        <v>10</v>
      </c>
      <c r="C77" s="9"/>
      <c r="D77" s="9"/>
      <c r="E77" s="10"/>
      <c r="F77" s="10"/>
      <c r="G77" s="9"/>
      <c r="H77" s="10"/>
      <c r="I77" s="10"/>
      <c r="J77" s="18"/>
      <c r="L77" s="31"/>
    </row>
    <row r="78" spans="2:12" s="6" customFormat="1">
      <c r="B78" s="8" t="s">
        <v>13</v>
      </c>
      <c r="C78" s="9"/>
      <c r="D78" s="9"/>
      <c r="E78" s="10"/>
      <c r="F78" s="10"/>
      <c r="G78" s="9"/>
      <c r="H78" s="10"/>
      <c r="I78" s="10"/>
      <c r="J78" s="18"/>
      <c r="L78" s="31"/>
    </row>
    <row r="79" spans="2:12" s="6" customFormat="1">
      <c r="B79" s="8" t="s">
        <v>12</v>
      </c>
      <c r="C79" s="9"/>
      <c r="D79" s="9"/>
      <c r="E79" s="10"/>
      <c r="F79" s="10"/>
      <c r="G79" s="9"/>
      <c r="H79" s="10"/>
      <c r="I79" s="10"/>
      <c r="J79" s="18"/>
      <c r="L79" s="31"/>
    </row>
    <row r="80" spans="2:12" s="6" customFormat="1">
      <c r="B80" s="8" t="s">
        <v>11</v>
      </c>
      <c r="C80" s="9"/>
      <c r="D80" s="9"/>
      <c r="E80" s="10"/>
      <c r="F80" s="10"/>
      <c r="G80" s="9"/>
      <c r="H80" s="10"/>
      <c r="I80" s="10"/>
      <c r="J80" s="18"/>
      <c r="L80" s="31"/>
    </row>
    <row r="81" spans="2:12">
      <c r="L81" s="31"/>
    </row>
    <row r="82" spans="2:12">
      <c r="L82" s="31"/>
    </row>
    <row r="83" spans="2:12" s="6" customFormat="1">
      <c r="B83" s="6" t="s">
        <v>67</v>
      </c>
      <c r="C83" s="12"/>
      <c r="D83" s="6" t="s">
        <v>80</v>
      </c>
      <c r="G83" s="12"/>
      <c r="J83" s="21"/>
      <c r="L83" s="31"/>
    </row>
    <row r="84" spans="2:12" s="6" customFormat="1">
      <c r="B84" s="8" t="s">
        <v>8</v>
      </c>
      <c r="C84" s="9"/>
      <c r="D84" s="9"/>
      <c r="E84" s="10"/>
      <c r="F84" s="11"/>
      <c r="G84" s="9"/>
      <c r="H84" s="10"/>
      <c r="I84" s="11"/>
      <c r="J84" s="18"/>
      <c r="L84" s="31"/>
    </row>
    <row r="85" spans="2:12" s="6" customFormat="1">
      <c r="B85" s="8" t="s">
        <v>7</v>
      </c>
      <c r="C85" s="9"/>
      <c r="D85" s="9"/>
      <c r="E85" s="10"/>
      <c r="F85" s="11"/>
      <c r="G85" s="9"/>
      <c r="H85" s="10"/>
      <c r="I85" s="11"/>
      <c r="J85" s="18"/>
      <c r="L85" s="31"/>
    </row>
    <row r="86" spans="2:12" s="6" customFormat="1">
      <c r="B86" s="8" t="s">
        <v>9</v>
      </c>
      <c r="C86" s="9"/>
      <c r="D86" s="9"/>
      <c r="E86" s="10"/>
      <c r="F86" s="11"/>
      <c r="G86" s="9"/>
      <c r="H86" s="10"/>
      <c r="I86" s="11"/>
      <c r="J86" s="18"/>
      <c r="L86" s="31"/>
    </row>
    <row r="87" spans="2:12" s="6" customFormat="1">
      <c r="B87" s="8" t="s">
        <v>10</v>
      </c>
      <c r="C87" s="9"/>
      <c r="D87" s="9"/>
      <c r="E87" s="10"/>
      <c r="F87" s="11"/>
      <c r="G87" s="9"/>
      <c r="H87" s="10"/>
      <c r="I87" s="11"/>
      <c r="J87" s="18"/>
      <c r="L87" s="31"/>
    </row>
    <row r="88" spans="2:12" s="6" customFormat="1">
      <c r="B88" s="8" t="s">
        <v>13</v>
      </c>
      <c r="C88" s="9"/>
      <c r="D88" s="9"/>
      <c r="E88" s="10"/>
      <c r="F88" s="11"/>
      <c r="G88" s="9"/>
      <c r="H88" s="10"/>
      <c r="I88" s="11"/>
      <c r="J88" s="18"/>
      <c r="L88" s="31"/>
    </row>
    <row r="89" spans="2:12" s="6" customFormat="1">
      <c r="B89" s="8" t="s">
        <v>12</v>
      </c>
      <c r="C89" s="9"/>
      <c r="D89" s="9"/>
      <c r="E89" s="10"/>
      <c r="F89" s="11"/>
      <c r="G89" s="9"/>
      <c r="H89" s="10"/>
      <c r="I89" s="11"/>
      <c r="J89" s="18"/>
      <c r="L89" s="31"/>
    </row>
    <row r="90" spans="2:12" s="6" customFormat="1">
      <c r="B90" s="8" t="s">
        <v>11</v>
      </c>
      <c r="C90" s="9"/>
      <c r="D90" s="9"/>
      <c r="E90" s="10"/>
      <c r="F90" s="11"/>
      <c r="G90" s="9"/>
      <c r="H90" s="10"/>
      <c r="I90" s="11"/>
      <c r="J90" s="18"/>
      <c r="L90" s="31"/>
    </row>
    <row r="91" spans="2:12" s="6" customFormat="1">
      <c r="C91" s="12"/>
      <c r="G91" s="12"/>
      <c r="J91" s="21"/>
      <c r="L91" s="31"/>
    </row>
    <row r="92" spans="2:12" s="6" customFormat="1">
      <c r="C92" s="12"/>
      <c r="G92" s="12"/>
      <c r="J92" s="21"/>
      <c r="L92" s="31"/>
    </row>
    <row r="93" spans="2:12" s="6" customFormat="1">
      <c r="B93" s="6" t="s">
        <v>68</v>
      </c>
      <c r="C93" s="12"/>
      <c r="D93" s="6" t="s">
        <v>81</v>
      </c>
      <c r="G93" s="12"/>
      <c r="J93" s="21"/>
      <c r="L93" s="31"/>
    </row>
    <row r="94" spans="2:12" s="6" customFormat="1">
      <c r="B94" s="8" t="s">
        <v>8</v>
      </c>
      <c r="C94" s="9"/>
      <c r="D94" s="12"/>
      <c r="E94" s="13"/>
      <c r="F94" s="13"/>
      <c r="G94" s="12"/>
      <c r="H94" s="13"/>
      <c r="I94" s="13"/>
      <c r="J94" s="22"/>
      <c r="L94" s="31"/>
    </row>
    <row r="95" spans="2:12" s="6" customFormat="1">
      <c r="B95" s="8" t="s">
        <v>7</v>
      </c>
      <c r="C95" s="9"/>
      <c r="D95" s="9"/>
      <c r="E95" s="10"/>
      <c r="F95" s="10"/>
      <c r="G95" s="9"/>
      <c r="H95" s="10"/>
      <c r="I95" s="10"/>
      <c r="J95" s="18"/>
      <c r="L95" s="31"/>
    </row>
    <row r="96" spans="2:12" s="6" customFormat="1">
      <c r="B96" s="8" t="s">
        <v>9</v>
      </c>
      <c r="C96" s="9"/>
      <c r="D96" s="9"/>
      <c r="E96" s="10"/>
      <c r="F96" s="10"/>
      <c r="G96" s="9"/>
      <c r="H96" s="10"/>
      <c r="I96" s="10"/>
      <c r="J96" s="18"/>
      <c r="L96" s="31"/>
    </row>
    <row r="97" spans="2:12" s="6" customFormat="1">
      <c r="B97" s="8" t="s">
        <v>10</v>
      </c>
      <c r="C97" s="9"/>
      <c r="D97" s="9"/>
      <c r="E97" s="10"/>
      <c r="F97" s="10"/>
      <c r="G97" s="9"/>
      <c r="H97" s="10"/>
      <c r="I97" s="10"/>
      <c r="J97" s="18"/>
      <c r="L97" s="31"/>
    </row>
    <row r="98" spans="2:12" s="6" customFormat="1">
      <c r="B98" s="8" t="s">
        <v>13</v>
      </c>
      <c r="C98" s="9"/>
      <c r="D98" s="9"/>
      <c r="E98" s="10"/>
      <c r="F98" s="10"/>
      <c r="G98" s="9"/>
      <c r="H98" s="10"/>
      <c r="I98" s="10"/>
      <c r="J98" s="18"/>
      <c r="L98" s="31"/>
    </row>
    <row r="99" spans="2:12" s="6" customFormat="1">
      <c r="B99" s="8" t="s">
        <v>12</v>
      </c>
      <c r="C99" s="9"/>
      <c r="D99" s="9"/>
      <c r="E99" s="10"/>
      <c r="F99" s="10"/>
      <c r="G99" s="9"/>
      <c r="H99" s="10"/>
      <c r="I99" s="10"/>
      <c r="J99" s="18"/>
      <c r="L99" s="31"/>
    </row>
    <row r="100" spans="2:12" s="6" customFormat="1">
      <c r="B100" s="8" t="s">
        <v>11</v>
      </c>
      <c r="C100" s="9"/>
      <c r="D100" s="9"/>
      <c r="E100" s="10"/>
      <c r="F100" s="10"/>
      <c r="G100" s="9"/>
      <c r="H100" s="10"/>
      <c r="I100" s="10"/>
      <c r="J100" s="18"/>
      <c r="L100" s="31"/>
    </row>
    <row r="101" spans="2:12" s="6" customFormat="1">
      <c r="B101" s="8"/>
      <c r="C101" s="9"/>
      <c r="D101" s="9"/>
      <c r="E101" s="10"/>
      <c r="F101" s="11"/>
      <c r="G101" s="9"/>
      <c r="H101" s="10"/>
      <c r="I101" s="11"/>
      <c r="J101" s="18"/>
      <c r="L101" s="31"/>
    </row>
    <row r="102" spans="2:12" s="6" customFormat="1">
      <c r="C102" s="12"/>
      <c r="G102" s="12"/>
      <c r="J102" s="21"/>
    </row>
    <row r="103" spans="2:12" s="6" customFormat="1">
      <c r="B103" s="6" t="s">
        <v>69</v>
      </c>
      <c r="C103" s="12"/>
      <c r="D103" s="6" t="s">
        <v>82</v>
      </c>
      <c r="G103" s="12"/>
      <c r="J103" s="21"/>
    </row>
    <row r="104" spans="2:12" s="6" customFormat="1">
      <c r="B104" s="8" t="s">
        <v>8</v>
      </c>
      <c r="C104" s="9" t="s">
        <v>117</v>
      </c>
      <c r="D104" s="12"/>
      <c r="E104" s="13"/>
      <c r="F104" s="13"/>
      <c r="G104" s="12"/>
      <c r="H104" s="13"/>
      <c r="I104" s="13"/>
      <c r="J104" s="22" t="s">
        <v>117</v>
      </c>
    </row>
    <row r="105" spans="2:12" s="6" customFormat="1">
      <c r="B105" s="8" t="s">
        <v>7</v>
      </c>
      <c r="C105" s="9" t="s">
        <v>117</v>
      </c>
      <c r="D105" s="9"/>
      <c r="E105" s="10"/>
      <c r="F105" s="10"/>
      <c r="G105" s="9"/>
      <c r="H105" s="10"/>
      <c r="I105" s="10"/>
      <c r="J105" s="18" t="s">
        <v>117</v>
      </c>
    </row>
    <row r="106" spans="2:12" s="6" customFormat="1">
      <c r="B106" s="8" t="s">
        <v>9</v>
      </c>
      <c r="C106" s="9" t="s">
        <v>117</v>
      </c>
      <c r="D106" s="9"/>
      <c r="E106" s="10"/>
      <c r="F106" s="10"/>
      <c r="G106" s="9"/>
      <c r="H106" s="10"/>
      <c r="I106" s="10"/>
      <c r="J106" s="18" t="s">
        <v>117</v>
      </c>
    </row>
    <row r="107" spans="2:12" s="6" customFormat="1">
      <c r="B107" s="8" t="s">
        <v>10</v>
      </c>
      <c r="C107" s="9" t="s">
        <v>117</v>
      </c>
      <c r="D107" s="9"/>
      <c r="E107" s="10"/>
      <c r="F107" s="10"/>
      <c r="G107" s="9"/>
      <c r="H107" s="10"/>
      <c r="I107" s="10"/>
      <c r="J107" s="18" t="s">
        <v>117</v>
      </c>
    </row>
    <row r="108" spans="2:12" s="6" customFormat="1">
      <c r="B108" s="8" t="s">
        <v>13</v>
      </c>
      <c r="C108" s="9" t="s">
        <v>117</v>
      </c>
      <c r="D108" s="9"/>
      <c r="E108" s="10"/>
      <c r="F108" s="10"/>
      <c r="G108" s="9"/>
      <c r="H108" s="10"/>
      <c r="I108" s="10"/>
      <c r="J108" s="18" t="s">
        <v>117</v>
      </c>
    </row>
    <row r="109" spans="2:12" s="6" customFormat="1">
      <c r="B109" s="8" t="s">
        <v>12</v>
      </c>
      <c r="C109" s="9">
        <v>1</v>
      </c>
      <c r="D109" s="9" t="s">
        <v>119</v>
      </c>
      <c r="E109" s="10">
        <v>0.35069444444444442</v>
      </c>
      <c r="F109" s="10"/>
      <c r="G109" s="9"/>
      <c r="H109" s="10"/>
      <c r="I109" s="10"/>
      <c r="J109" s="18" t="s">
        <v>117</v>
      </c>
    </row>
    <row r="110" spans="2:12" s="6" customFormat="1">
      <c r="B110" s="8" t="s">
        <v>11</v>
      </c>
      <c r="C110" s="9" t="s">
        <v>117</v>
      </c>
      <c r="D110" s="9"/>
      <c r="E110" s="10"/>
      <c r="F110" s="10"/>
      <c r="G110" s="9"/>
      <c r="H110" s="10"/>
      <c r="I110" s="10"/>
      <c r="J110" s="18" t="s">
        <v>117</v>
      </c>
    </row>
    <row r="113" spans="2:10" s="6" customFormat="1">
      <c r="B113" s="6" t="s">
        <v>16</v>
      </c>
      <c r="C113" s="12"/>
      <c r="D113" s="6" t="s">
        <v>84</v>
      </c>
      <c r="G113" s="12"/>
      <c r="J113" s="21"/>
    </row>
    <row r="114" spans="2:10" s="6" customFormat="1">
      <c r="B114" s="8" t="s">
        <v>8</v>
      </c>
      <c r="C114" s="9"/>
      <c r="D114" s="9"/>
      <c r="E114" s="10"/>
      <c r="F114" s="11"/>
      <c r="G114" s="9"/>
      <c r="H114" s="10"/>
      <c r="I114" s="11"/>
      <c r="J114" s="18"/>
    </row>
    <row r="115" spans="2:10" s="6" customFormat="1">
      <c r="B115" s="8" t="s">
        <v>7</v>
      </c>
      <c r="C115" s="9"/>
      <c r="D115" s="9"/>
      <c r="E115" s="10"/>
      <c r="F115" s="11"/>
      <c r="G115" s="9"/>
      <c r="H115" s="10"/>
      <c r="I115" s="11"/>
      <c r="J115" s="18"/>
    </row>
    <row r="116" spans="2:10" s="6" customFormat="1">
      <c r="B116" s="8" t="s">
        <v>9</v>
      </c>
      <c r="C116" s="9"/>
      <c r="D116" s="9"/>
      <c r="E116" s="10"/>
      <c r="F116" s="11"/>
      <c r="G116" s="9"/>
      <c r="H116" s="10"/>
      <c r="I116" s="11"/>
      <c r="J116" s="18"/>
    </row>
    <row r="117" spans="2:10" s="6" customFormat="1">
      <c r="B117" s="8" t="s">
        <v>10</v>
      </c>
      <c r="C117" s="9"/>
      <c r="D117" s="9"/>
      <c r="E117" s="10"/>
      <c r="F117" s="11"/>
      <c r="G117" s="9"/>
      <c r="H117" s="10"/>
      <c r="I117" s="11"/>
      <c r="J117" s="18"/>
    </row>
    <row r="118" spans="2:10" s="6" customFormat="1">
      <c r="B118" s="8" t="s">
        <v>13</v>
      </c>
      <c r="C118" s="9"/>
      <c r="D118" s="9"/>
      <c r="E118" s="10"/>
      <c r="F118" s="11"/>
      <c r="G118" s="9"/>
      <c r="H118" s="10"/>
      <c r="I118" s="11"/>
      <c r="J118" s="18"/>
    </row>
    <row r="119" spans="2:10" s="6" customFormat="1">
      <c r="B119" s="8" t="s">
        <v>12</v>
      </c>
      <c r="C119" s="9"/>
      <c r="D119" s="9"/>
      <c r="E119" s="10"/>
      <c r="F119" s="11"/>
      <c r="G119" s="9"/>
      <c r="H119" s="10"/>
      <c r="I119" s="11"/>
      <c r="J119" s="18"/>
    </row>
    <row r="120" spans="2:10" s="6" customFormat="1">
      <c r="B120" s="8" t="s">
        <v>11</v>
      </c>
      <c r="C120" s="9"/>
      <c r="D120" s="9"/>
      <c r="E120" s="10"/>
      <c r="F120" s="11"/>
      <c r="G120" s="9"/>
      <c r="H120" s="10"/>
      <c r="I120" s="11"/>
      <c r="J120" s="18"/>
    </row>
    <row r="121" spans="2:10" s="6" customFormat="1">
      <c r="C121" s="12"/>
      <c r="G121" s="12"/>
      <c r="J121" s="21"/>
    </row>
    <row r="122" spans="2:10" s="6" customFormat="1">
      <c r="C122" s="12"/>
      <c r="G122" s="12"/>
      <c r="J122" s="21"/>
    </row>
    <row r="123" spans="2:10" s="6" customFormat="1">
      <c r="B123" s="6" t="s">
        <v>17</v>
      </c>
      <c r="C123" s="12"/>
      <c r="D123" s="6" t="s">
        <v>85</v>
      </c>
      <c r="G123" s="12"/>
      <c r="J123" s="21"/>
    </row>
    <row r="124" spans="2:10" s="6" customFormat="1">
      <c r="B124" s="8" t="s">
        <v>8</v>
      </c>
      <c r="C124" s="9"/>
      <c r="D124" s="12"/>
      <c r="E124" s="13"/>
      <c r="F124" s="13"/>
      <c r="G124" s="12"/>
      <c r="H124" s="13"/>
      <c r="I124" s="13"/>
      <c r="J124" s="22"/>
    </row>
    <row r="125" spans="2:10" s="6" customFormat="1">
      <c r="B125" s="8" t="s">
        <v>7</v>
      </c>
      <c r="C125" s="9"/>
      <c r="D125" s="9"/>
      <c r="E125" s="10"/>
      <c r="F125" s="10"/>
      <c r="G125" s="9"/>
      <c r="H125" s="10"/>
      <c r="I125" s="10"/>
      <c r="J125" s="18"/>
    </row>
    <row r="126" spans="2:10" s="6" customFormat="1">
      <c r="B126" s="8" t="s">
        <v>9</v>
      </c>
      <c r="C126" s="9"/>
      <c r="D126" s="9"/>
      <c r="E126" s="10"/>
      <c r="F126" s="10"/>
      <c r="G126" s="9"/>
      <c r="H126" s="10"/>
      <c r="I126" s="10"/>
      <c r="J126" s="18"/>
    </row>
    <row r="127" spans="2:10" s="6" customFormat="1">
      <c r="B127" s="8" t="s">
        <v>10</v>
      </c>
      <c r="C127" s="9"/>
      <c r="D127" s="9"/>
      <c r="E127" s="10"/>
      <c r="F127" s="10"/>
      <c r="G127" s="9"/>
      <c r="H127" s="10"/>
      <c r="I127" s="10"/>
      <c r="J127" s="18"/>
    </row>
    <row r="128" spans="2:10" s="6" customFormat="1">
      <c r="B128" s="8" t="s">
        <v>13</v>
      </c>
      <c r="C128" s="9"/>
      <c r="D128" s="9"/>
      <c r="E128" s="10"/>
      <c r="F128" s="10"/>
      <c r="G128" s="9"/>
      <c r="H128" s="10"/>
      <c r="I128" s="10"/>
      <c r="J128" s="18"/>
    </row>
    <row r="129" spans="2:10" s="6" customFormat="1">
      <c r="B129" s="8" t="s">
        <v>12</v>
      </c>
      <c r="C129" s="9"/>
      <c r="D129" s="9"/>
      <c r="E129" s="10"/>
      <c r="F129" s="10"/>
      <c r="G129" s="9"/>
      <c r="H129" s="10"/>
      <c r="I129" s="10"/>
      <c r="J129" s="18"/>
    </row>
    <row r="130" spans="2:10" s="6" customFormat="1">
      <c r="B130" s="8" t="s">
        <v>11</v>
      </c>
      <c r="C130" s="9"/>
      <c r="D130" s="9"/>
      <c r="E130" s="10"/>
      <c r="F130" s="10"/>
      <c r="G130" s="9"/>
      <c r="H130" s="10"/>
      <c r="I130" s="10"/>
      <c r="J130" s="18"/>
    </row>
    <row r="131" spans="2:10" s="6" customFormat="1">
      <c r="B131" s="8"/>
      <c r="C131" s="9"/>
      <c r="D131" s="9"/>
      <c r="E131" s="10"/>
      <c r="F131" s="11"/>
      <c r="G131" s="9"/>
      <c r="H131" s="10"/>
      <c r="I131" s="11"/>
      <c r="J131" s="18"/>
    </row>
    <row r="132" spans="2:10" s="6" customFormat="1">
      <c r="C132" s="12"/>
      <c r="G132" s="12"/>
      <c r="J132" s="21"/>
    </row>
    <row r="133" spans="2:10" s="6" customFormat="1">
      <c r="B133" s="6" t="s">
        <v>18</v>
      </c>
      <c r="C133" s="12"/>
      <c r="D133" s="6" t="s">
        <v>86</v>
      </c>
      <c r="G133" s="12"/>
      <c r="J133" s="21"/>
    </row>
    <row r="134" spans="2:10" s="6" customFormat="1">
      <c r="B134" s="8" t="s">
        <v>8</v>
      </c>
      <c r="C134" s="9"/>
      <c r="D134" s="12"/>
      <c r="E134" s="13"/>
      <c r="F134" s="13"/>
      <c r="G134" s="12"/>
      <c r="H134" s="13"/>
      <c r="I134" s="13"/>
      <c r="J134" s="22"/>
    </row>
    <row r="135" spans="2:10" s="6" customFormat="1">
      <c r="B135" s="8" t="s">
        <v>7</v>
      </c>
      <c r="C135" s="9"/>
      <c r="D135" s="9"/>
      <c r="E135" s="10"/>
      <c r="F135" s="10"/>
      <c r="G135" s="9"/>
      <c r="H135" s="10"/>
      <c r="I135" s="10"/>
      <c r="J135" s="18"/>
    </row>
    <row r="136" spans="2:10" s="6" customFormat="1">
      <c r="B136" s="8" t="s">
        <v>9</v>
      </c>
      <c r="C136" s="9"/>
      <c r="D136" s="9"/>
      <c r="E136" s="10"/>
      <c r="F136" s="10"/>
      <c r="G136" s="9"/>
      <c r="H136" s="10"/>
      <c r="I136" s="10"/>
      <c r="J136" s="18"/>
    </row>
    <row r="137" spans="2:10" s="6" customFormat="1">
      <c r="B137" s="8" t="s">
        <v>10</v>
      </c>
      <c r="C137" s="9"/>
      <c r="D137" s="9"/>
      <c r="E137" s="10"/>
      <c r="F137" s="10"/>
      <c r="G137" s="9"/>
      <c r="H137" s="10"/>
      <c r="I137" s="10"/>
      <c r="J137" s="18"/>
    </row>
    <row r="138" spans="2:10" s="6" customFormat="1">
      <c r="B138" s="8" t="s">
        <v>13</v>
      </c>
      <c r="C138" s="9"/>
      <c r="D138" s="9"/>
      <c r="E138" s="10"/>
      <c r="F138" s="10"/>
      <c r="G138" s="9"/>
      <c r="H138" s="10"/>
      <c r="I138" s="10"/>
      <c r="J138" s="18"/>
    </row>
    <row r="139" spans="2:10" s="6" customFormat="1">
      <c r="B139" s="8" t="s">
        <v>12</v>
      </c>
      <c r="C139" s="9"/>
      <c r="D139" s="9"/>
      <c r="E139" s="10"/>
      <c r="F139" s="10"/>
      <c r="G139" s="9"/>
      <c r="H139" s="10"/>
      <c r="I139" s="10"/>
      <c r="J139" s="18"/>
    </row>
    <row r="140" spans="2:10" s="6" customFormat="1">
      <c r="B140" s="8" t="s">
        <v>11</v>
      </c>
      <c r="C140" s="9"/>
      <c r="D140" s="9"/>
      <c r="E140" s="10"/>
      <c r="F140" s="10"/>
      <c r="G140" s="9"/>
      <c r="H140" s="10"/>
      <c r="I140" s="10"/>
      <c r="J140" s="18"/>
    </row>
    <row r="143" spans="2:10" s="6" customFormat="1">
      <c r="B143" s="6" t="s">
        <v>19</v>
      </c>
      <c r="C143" s="12"/>
      <c r="D143" s="6" t="s">
        <v>87</v>
      </c>
      <c r="G143" s="12"/>
      <c r="J143" s="21"/>
    </row>
    <row r="144" spans="2:10" s="6" customFormat="1">
      <c r="B144" s="8" t="s">
        <v>8</v>
      </c>
      <c r="C144" s="9"/>
      <c r="D144" s="9"/>
      <c r="E144" s="10"/>
      <c r="F144" s="11"/>
      <c r="G144" s="9"/>
      <c r="H144" s="10"/>
      <c r="I144" s="11"/>
      <c r="J144" s="18"/>
    </row>
    <row r="145" spans="2:10" s="6" customFormat="1">
      <c r="B145" s="8" t="s">
        <v>7</v>
      </c>
      <c r="C145" s="9"/>
      <c r="D145" s="9"/>
      <c r="E145" s="10"/>
      <c r="F145" s="11"/>
      <c r="G145" s="9"/>
      <c r="H145" s="10"/>
      <c r="I145" s="11"/>
      <c r="J145" s="18"/>
    </row>
    <row r="146" spans="2:10" s="6" customFormat="1">
      <c r="B146" s="8" t="s">
        <v>9</v>
      </c>
      <c r="C146" s="9"/>
      <c r="D146" s="9"/>
      <c r="E146" s="10"/>
      <c r="F146" s="11"/>
      <c r="G146" s="9"/>
      <c r="H146" s="10"/>
      <c r="I146" s="11"/>
      <c r="J146" s="18"/>
    </row>
    <row r="147" spans="2:10" s="6" customFormat="1">
      <c r="B147" s="8" t="s">
        <v>10</v>
      </c>
      <c r="C147" s="9"/>
      <c r="D147" s="9"/>
      <c r="E147" s="10"/>
      <c r="F147" s="11"/>
      <c r="G147" s="9"/>
      <c r="H147" s="10"/>
      <c r="I147" s="11"/>
      <c r="J147" s="18"/>
    </row>
    <row r="148" spans="2:10" s="6" customFormat="1">
      <c r="B148" s="8" t="s">
        <v>13</v>
      </c>
      <c r="C148" s="9"/>
      <c r="D148" s="9"/>
      <c r="E148" s="10"/>
      <c r="F148" s="11"/>
      <c r="G148" s="9"/>
      <c r="H148" s="10"/>
      <c r="I148" s="11"/>
      <c r="J148" s="18"/>
    </row>
    <row r="149" spans="2:10" s="6" customFormat="1">
      <c r="B149" s="8" t="s">
        <v>12</v>
      </c>
      <c r="C149" s="9"/>
      <c r="D149" s="9"/>
      <c r="E149" s="10"/>
      <c r="F149" s="11"/>
      <c r="G149" s="9"/>
      <c r="H149" s="10"/>
      <c r="I149" s="11"/>
      <c r="J149" s="18"/>
    </row>
    <row r="150" spans="2:10" s="6" customFormat="1">
      <c r="B150" s="8" t="s">
        <v>11</v>
      </c>
      <c r="C150" s="9"/>
      <c r="D150" s="9"/>
      <c r="E150" s="10"/>
      <c r="F150" s="11"/>
      <c r="G150" s="9"/>
      <c r="H150" s="10"/>
      <c r="I150" s="11"/>
      <c r="J150" s="18"/>
    </row>
    <row r="151" spans="2:10" s="6" customFormat="1">
      <c r="C151" s="12"/>
      <c r="G151" s="12"/>
      <c r="J151" s="21"/>
    </row>
    <row r="152" spans="2:10" s="6" customFormat="1">
      <c r="C152" s="12"/>
      <c r="G152" s="12"/>
      <c r="J152" s="21"/>
    </row>
    <row r="153" spans="2:10" s="6" customFormat="1">
      <c r="B153" s="6" t="s">
        <v>15</v>
      </c>
      <c r="C153" s="12"/>
      <c r="D153" s="6" t="s">
        <v>83</v>
      </c>
      <c r="G153" s="12"/>
      <c r="J153" s="21"/>
    </row>
    <row r="154" spans="2:10" s="6" customFormat="1">
      <c r="B154" s="8" t="s">
        <v>8</v>
      </c>
      <c r="C154" s="9"/>
      <c r="D154" s="12"/>
      <c r="E154" s="13"/>
      <c r="F154" s="13"/>
      <c r="G154" s="12"/>
      <c r="H154" s="13"/>
      <c r="I154" s="13"/>
      <c r="J154" s="22"/>
    </row>
    <row r="155" spans="2:10" s="6" customFormat="1">
      <c r="B155" s="8" t="s">
        <v>7</v>
      </c>
      <c r="C155" s="9"/>
      <c r="D155" s="9"/>
      <c r="E155" s="10"/>
      <c r="F155" s="10"/>
      <c r="G155" s="9"/>
      <c r="H155" s="10"/>
      <c r="I155" s="10"/>
      <c r="J155" s="18"/>
    </row>
    <row r="156" spans="2:10" s="6" customFormat="1">
      <c r="B156" s="8" t="s">
        <v>9</v>
      </c>
      <c r="C156" s="9"/>
      <c r="D156" s="9"/>
      <c r="E156" s="10"/>
      <c r="F156" s="10"/>
      <c r="G156" s="9"/>
      <c r="H156" s="10"/>
      <c r="I156" s="10"/>
      <c r="J156" s="18"/>
    </row>
    <row r="157" spans="2:10" s="6" customFormat="1">
      <c r="B157" s="8" t="s">
        <v>10</v>
      </c>
      <c r="C157" s="9"/>
      <c r="D157" s="9"/>
      <c r="E157" s="10"/>
      <c r="F157" s="10"/>
      <c r="G157" s="9"/>
      <c r="H157" s="10"/>
      <c r="I157" s="10"/>
      <c r="J157" s="18"/>
    </row>
    <row r="158" spans="2:10" s="6" customFormat="1">
      <c r="B158" s="8" t="s">
        <v>13</v>
      </c>
      <c r="C158" s="9"/>
      <c r="D158" s="9"/>
      <c r="E158" s="10"/>
      <c r="F158" s="10"/>
      <c r="G158" s="9"/>
      <c r="H158" s="10"/>
      <c r="I158" s="10"/>
      <c r="J158" s="18"/>
    </row>
    <row r="159" spans="2:10" s="6" customFormat="1">
      <c r="B159" s="8" t="s">
        <v>12</v>
      </c>
      <c r="C159" s="9"/>
      <c r="D159" s="9"/>
      <c r="E159" s="10"/>
      <c r="F159" s="10"/>
      <c r="G159" s="9"/>
      <c r="H159" s="10"/>
      <c r="I159" s="10"/>
      <c r="J159" s="18"/>
    </row>
    <row r="160" spans="2:10" s="6" customFormat="1">
      <c r="B160" s="8" t="s">
        <v>11</v>
      </c>
      <c r="C160" s="9"/>
      <c r="D160" s="9"/>
      <c r="E160" s="10"/>
      <c r="F160" s="10"/>
      <c r="G160" s="9"/>
      <c r="H160" s="10"/>
      <c r="I160" s="10"/>
      <c r="J160" s="18"/>
    </row>
    <row r="161" spans="2:10" s="6" customFormat="1">
      <c r="B161" s="8"/>
      <c r="C161" s="9"/>
      <c r="D161" s="9"/>
      <c r="E161" s="10"/>
      <c r="F161" s="11"/>
      <c r="G161" s="9"/>
      <c r="H161" s="10"/>
      <c r="I161" s="11"/>
      <c r="J161" s="18"/>
    </row>
    <row r="162" spans="2:10" s="6" customFormat="1">
      <c r="C162" s="12"/>
      <c r="G162" s="12"/>
      <c r="J162" s="21"/>
    </row>
    <row r="163" spans="2:10" s="6" customFormat="1">
      <c r="B163" s="6" t="s">
        <v>24</v>
      </c>
      <c r="C163" s="12"/>
      <c r="D163" s="14" t="s">
        <v>78</v>
      </c>
      <c r="G163" s="12"/>
      <c r="J163" s="21"/>
    </row>
    <row r="164" spans="2:10" s="6" customFormat="1">
      <c r="B164" s="8" t="s">
        <v>8</v>
      </c>
      <c r="C164" s="9"/>
      <c r="D164" s="12"/>
      <c r="E164" s="13"/>
      <c r="F164" s="13"/>
      <c r="G164" s="12"/>
      <c r="H164" s="13"/>
      <c r="I164" s="13"/>
      <c r="J164" s="22"/>
    </row>
    <row r="165" spans="2:10" s="6" customFormat="1">
      <c r="B165" s="8" t="s">
        <v>7</v>
      </c>
      <c r="C165" s="9"/>
      <c r="D165" s="9"/>
      <c r="E165" s="10"/>
      <c r="F165" s="10"/>
      <c r="G165" s="9"/>
      <c r="H165" s="10"/>
      <c r="I165" s="10"/>
      <c r="J165" s="18"/>
    </row>
    <row r="166" spans="2:10" s="6" customFormat="1">
      <c r="B166" s="8" t="s">
        <v>9</v>
      </c>
      <c r="C166" s="9"/>
      <c r="D166" s="9"/>
      <c r="E166" s="10"/>
      <c r="F166" s="10"/>
      <c r="G166" s="9"/>
      <c r="H166" s="10"/>
      <c r="I166" s="10"/>
      <c r="J166" s="18"/>
    </row>
    <row r="167" spans="2:10" s="6" customFormat="1">
      <c r="B167" s="8" t="s">
        <v>10</v>
      </c>
      <c r="C167" s="9"/>
      <c r="D167" s="9"/>
      <c r="E167" s="10"/>
      <c r="F167" s="10"/>
      <c r="G167" s="9"/>
      <c r="H167" s="10"/>
      <c r="I167" s="10"/>
      <c r="J167" s="18"/>
    </row>
    <row r="168" spans="2:10" s="6" customFormat="1">
      <c r="B168" s="8" t="s">
        <v>13</v>
      </c>
      <c r="C168" s="9"/>
      <c r="D168" s="9"/>
      <c r="E168" s="10"/>
      <c r="F168" s="10"/>
      <c r="G168" s="9"/>
      <c r="H168" s="10"/>
      <c r="I168" s="10"/>
      <c r="J168" s="18"/>
    </row>
    <row r="169" spans="2:10" s="6" customFormat="1">
      <c r="B169" s="8" t="s">
        <v>12</v>
      </c>
      <c r="C169" s="9"/>
      <c r="D169" s="9"/>
      <c r="E169" s="10"/>
      <c r="F169" s="10"/>
      <c r="G169" s="9"/>
      <c r="H169" s="10"/>
      <c r="I169" s="10"/>
      <c r="J169" s="18"/>
    </row>
    <row r="170" spans="2:10" s="6" customFormat="1">
      <c r="B170" s="8" t="s">
        <v>11</v>
      </c>
      <c r="C170" s="9"/>
      <c r="D170" s="9"/>
      <c r="E170" s="10"/>
      <c r="F170" s="10"/>
      <c r="G170" s="9"/>
      <c r="H170" s="10"/>
      <c r="I170" s="10"/>
      <c r="J170" s="18"/>
    </row>
    <row r="173" spans="2:10" s="6" customFormat="1">
      <c r="B173" s="6" t="s">
        <v>25</v>
      </c>
      <c r="C173" s="12"/>
      <c r="D173" s="15" t="s">
        <v>77</v>
      </c>
      <c r="G173" s="12"/>
      <c r="J173" s="21"/>
    </row>
    <row r="174" spans="2:10" s="6" customFormat="1">
      <c r="B174" s="8" t="s">
        <v>8</v>
      </c>
      <c r="C174" s="9"/>
      <c r="D174" s="9"/>
      <c r="E174" s="10"/>
      <c r="F174" s="11"/>
      <c r="G174" s="9"/>
      <c r="H174" s="10"/>
      <c r="I174" s="11"/>
      <c r="J174" s="18"/>
    </row>
    <row r="175" spans="2:10" s="6" customFormat="1">
      <c r="B175" s="8" t="s">
        <v>7</v>
      </c>
      <c r="C175" s="9"/>
      <c r="D175" s="9"/>
      <c r="E175" s="10"/>
      <c r="F175" s="11"/>
      <c r="G175" s="9"/>
      <c r="H175" s="10"/>
      <c r="I175" s="11"/>
      <c r="J175" s="18"/>
    </row>
    <row r="176" spans="2:10" s="6" customFormat="1">
      <c r="B176" s="8" t="s">
        <v>9</v>
      </c>
      <c r="C176" s="9"/>
      <c r="D176" s="9"/>
      <c r="E176" s="10"/>
      <c r="F176" s="11"/>
      <c r="G176" s="9"/>
      <c r="H176" s="10"/>
      <c r="I176" s="11"/>
      <c r="J176" s="18"/>
    </row>
    <row r="177" spans="2:10" s="6" customFormat="1">
      <c r="B177" s="8" t="s">
        <v>10</v>
      </c>
      <c r="C177" s="9"/>
      <c r="D177" s="9"/>
      <c r="E177" s="10"/>
      <c r="F177" s="11"/>
      <c r="G177" s="9"/>
      <c r="H177" s="10"/>
      <c r="I177" s="11"/>
      <c r="J177" s="18"/>
    </row>
    <row r="178" spans="2:10" s="6" customFormat="1">
      <c r="B178" s="8" t="s">
        <v>13</v>
      </c>
      <c r="C178" s="9"/>
      <c r="D178" s="9"/>
      <c r="E178" s="10"/>
      <c r="F178" s="11"/>
      <c r="G178" s="9"/>
      <c r="H178" s="10"/>
      <c r="I178" s="11"/>
      <c r="J178" s="18"/>
    </row>
    <row r="179" spans="2:10" s="6" customFormat="1">
      <c r="B179" s="8" t="s">
        <v>12</v>
      </c>
      <c r="C179" s="9"/>
      <c r="D179" s="9"/>
      <c r="E179" s="10"/>
      <c r="F179" s="11"/>
      <c r="G179" s="9"/>
      <c r="H179" s="10"/>
      <c r="I179" s="11"/>
      <c r="J179" s="18"/>
    </row>
    <row r="180" spans="2:10" s="6" customFormat="1">
      <c r="B180" s="8" t="s">
        <v>11</v>
      </c>
      <c r="C180" s="9"/>
      <c r="D180" s="9"/>
      <c r="E180" s="10"/>
      <c r="F180" s="11"/>
      <c r="G180" s="9"/>
      <c r="H180" s="10"/>
      <c r="I180" s="11"/>
      <c r="J180" s="18"/>
    </row>
    <row r="181" spans="2:10" s="6" customFormat="1">
      <c r="C181" s="12"/>
      <c r="G181" s="12"/>
      <c r="J181" s="21"/>
    </row>
    <row r="182" spans="2:10" s="6" customFormat="1">
      <c r="C182" s="12"/>
      <c r="G182" s="12"/>
      <c r="J182" s="21"/>
    </row>
    <row r="183" spans="2:10" s="6" customFormat="1">
      <c r="B183" s="6" t="s">
        <v>26</v>
      </c>
      <c r="C183" s="12"/>
      <c r="D183" s="16" t="s">
        <v>75</v>
      </c>
      <c r="G183" s="12"/>
      <c r="J183" s="21"/>
    </row>
    <row r="184" spans="2:10" s="6" customFormat="1">
      <c r="B184" s="8" t="s">
        <v>8</v>
      </c>
      <c r="C184" s="9"/>
      <c r="D184" s="12"/>
      <c r="E184" s="13"/>
      <c r="F184" s="13"/>
      <c r="G184" s="12"/>
      <c r="H184" s="13"/>
      <c r="I184" s="13"/>
      <c r="J184" s="22"/>
    </row>
    <row r="185" spans="2:10" s="6" customFormat="1">
      <c r="B185" s="8" t="s">
        <v>7</v>
      </c>
      <c r="C185" s="9"/>
      <c r="D185" s="9"/>
      <c r="E185" s="10"/>
      <c r="F185" s="10"/>
      <c r="G185" s="9"/>
      <c r="H185" s="10"/>
      <c r="I185" s="10"/>
      <c r="J185" s="18"/>
    </row>
    <row r="186" spans="2:10" s="6" customFormat="1">
      <c r="B186" s="8" t="s">
        <v>9</v>
      </c>
      <c r="C186" s="9"/>
      <c r="D186" s="9"/>
      <c r="E186" s="10"/>
      <c r="F186" s="10"/>
      <c r="G186" s="9"/>
      <c r="H186" s="10"/>
      <c r="I186" s="10"/>
      <c r="J186" s="18"/>
    </row>
    <row r="187" spans="2:10" s="6" customFormat="1">
      <c r="B187" s="8" t="s">
        <v>10</v>
      </c>
      <c r="C187" s="9"/>
      <c r="D187" s="9"/>
      <c r="E187" s="10"/>
      <c r="F187" s="10"/>
      <c r="G187" s="9"/>
      <c r="H187" s="10"/>
      <c r="I187" s="10"/>
      <c r="J187" s="18"/>
    </row>
    <row r="188" spans="2:10" s="6" customFormat="1">
      <c r="B188" s="8" t="s">
        <v>13</v>
      </c>
      <c r="C188" s="9"/>
      <c r="D188" s="9"/>
      <c r="E188" s="10"/>
      <c r="F188" s="10"/>
      <c r="G188" s="9"/>
      <c r="H188" s="10"/>
      <c r="I188" s="10"/>
      <c r="J188" s="18"/>
    </row>
    <row r="189" spans="2:10" s="6" customFormat="1">
      <c r="B189" s="8" t="s">
        <v>12</v>
      </c>
      <c r="C189" s="9"/>
      <c r="D189" s="9"/>
      <c r="E189" s="10"/>
      <c r="F189" s="10"/>
      <c r="G189" s="9"/>
      <c r="H189" s="10"/>
      <c r="I189" s="10"/>
      <c r="J189" s="18"/>
    </row>
    <row r="190" spans="2:10" s="6" customFormat="1">
      <c r="B190" s="8" t="s">
        <v>11</v>
      </c>
      <c r="C190" s="9"/>
      <c r="D190" s="9"/>
      <c r="E190" s="10"/>
      <c r="F190" s="10"/>
      <c r="G190" s="9"/>
      <c r="H190" s="10"/>
      <c r="I190" s="10"/>
      <c r="J190" s="18"/>
    </row>
    <row r="191" spans="2:10" s="6" customFormat="1">
      <c r="B191" s="8"/>
      <c r="C191" s="9"/>
      <c r="D191" s="9"/>
      <c r="E191" s="10"/>
      <c r="F191" s="11"/>
      <c r="G191" s="9"/>
      <c r="H191" s="10"/>
      <c r="I191" s="11"/>
      <c r="J191" s="18"/>
    </row>
    <row r="192" spans="2:10" s="6" customFormat="1">
      <c r="C192" s="12"/>
      <c r="G192" s="12"/>
      <c r="J192" s="21"/>
    </row>
    <row r="193" spans="2:10" s="6" customFormat="1">
      <c r="B193" s="6" t="s">
        <v>27</v>
      </c>
      <c r="C193" s="12"/>
      <c r="D193" s="6" t="s">
        <v>76</v>
      </c>
      <c r="G193" s="12"/>
      <c r="J193" s="21"/>
    </row>
    <row r="194" spans="2:10" s="6" customFormat="1">
      <c r="B194" s="8" t="s">
        <v>8</v>
      </c>
      <c r="C194" s="9"/>
      <c r="D194" s="12"/>
      <c r="E194" s="13"/>
      <c r="F194" s="13"/>
      <c r="G194" s="12"/>
      <c r="H194" s="13"/>
      <c r="I194" s="13"/>
      <c r="J194" s="22"/>
    </row>
    <row r="195" spans="2:10" s="6" customFormat="1">
      <c r="B195" s="8" t="s">
        <v>7</v>
      </c>
      <c r="C195" s="9"/>
      <c r="D195" s="9"/>
      <c r="E195" s="10"/>
      <c r="F195" s="10"/>
      <c r="G195" s="9"/>
      <c r="H195" s="10"/>
      <c r="I195" s="10"/>
      <c r="J195" s="18"/>
    </row>
    <row r="196" spans="2:10" s="6" customFormat="1">
      <c r="B196" s="8" t="s">
        <v>9</v>
      </c>
      <c r="C196" s="9"/>
      <c r="D196" s="9"/>
      <c r="E196" s="10"/>
      <c r="F196" s="10"/>
      <c r="G196" s="9"/>
      <c r="H196" s="10"/>
      <c r="I196" s="10"/>
      <c r="J196" s="18"/>
    </row>
    <row r="197" spans="2:10" s="6" customFormat="1">
      <c r="B197" s="8" t="s">
        <v>10</v>
      </c>
      <c r="C197" s="9"/>
      <c r="D197" s="9"/>
      <c r="E197" s="10"/>
      <c r="F197" s="10"/>
      <c r="G197" s="9"/>
      <c r="H197" s="10"/>
      <c r="I197" s="10"/>
      <c r="J197" s="18"/>
    </row>
    <row r="198" spans="2:10" s="6" customFormat="1">
      <c r="B198" s="8" t="s">
        <v>13</v>
      </c>
      <c r="C198" s="9"/>
      <c r="D198" s="9"/>
      <c r="E198" s="10"/>
      <c r="F198" s="10"/>
      <c r="G198" s="9"/>
      <c r="H198" s="10"/>
      <c r="I198" s="10"/>
      <c r="J198" s="18"/>
    </row>
    <row r="199" spans="2:10" s="6" customFormat="1">
      <c r="B199" s="8" t="s">
        <v>12</v>
      </c>
      <c r="C199" s="9"/>
      <c r="D199" s="9"/>
      <c r="E199" s="10"/>
      <c r="F199" s="10"/>
      <c r="G199" s="9"/>
      <c r="H199" s="10"/>
      <c r="I199" s="10"/>
      <c r="J199" s="18"/>
    </row>
    <row r="200" spans="2:10" s="6" customFormat="1">
      <c r="B200" s="8" t="s">
        <v>11</v>
      </c>
      <c r="C200" s="9"/>
      <c r="D200" s="9"/>
      <c r="E200" s="10"/>
      <c r="F200" s="10"/>
      <c r="G200" s="9"/>
      <c r="H200" s="10"/>
      <c r="I200" s="10"/>
      <c r="J200" s="18"/>
    </row>
    <row r="203" spans="2:10" s="6" customFormat="1">
      <c r="B203" s="6" t="s">
        <v>0</v>
      </c>
      <c r="C203" s="12"/>
      <c r="D203" s="25" t="s">
        <v>71</v>
      </c>
      <c r="G203" s="12"/>
      <c r="J203" s="21"/>
    </row>
    <row r="204" spans="2:10" s="6" customFormat="1">
      <c r="B204" s="8" t="s">
        <v>8</v>
      </c>
      <c r="C204" s="9"/>
      <c r="D204" s="9"/>
      <c r="E204" s="10"/>
      <c r="F204" s="11"/>
      <c r="G204" s="9"/>
      <c r="H204" s="10"/>
      <c r="I204" s="11"/>
      <c r="J204" s="18"/>
    </row>
    <row r="205" spans="2:10" s="6" customFormat="1">
      <c r="B205" s="8" t="s">
        <v>7</v>
      </c>
      <c r="C205" s="9"/>
      <c r="D205" s="9"/>
      <c r="E205" s="10"/>
      <c r="F205" s="11"/>
      <c r="G205" s="9"/>
      <c r="H205" s="10"/>
      <c r="I205" s="11"/>
      <c r="J205" s="18"/>
    </row>
    <row r="206" spans="2:10" s="6" customFormat="1">
      <c r="B206" s="8" t="s">
        <v>9</v>
      </c>
      <c r="C206" s="9"/>
      <c r="D206" s="9"/>
      <c r="E206" s="10"/>
      <c r="F206" s="11"/>
      <c r="G206" s="9"/>
      <c r="H206" s="10"/>
      <c r="I206" s="11"/>
      <c r="J206" s="18"/>
    </row>
    <row r="207" spans="2:10" s="6" customFormat="1">
      <c r="B207" s="8" t="s">
        <v>10</v>
      </c>
      <c r="C207" s="9"/>
      <c r="D207" s="9"/>
      <c r="E207" s="10"/>
      <c r="F207" s="11"/>
      <c r="G207" s="9"/>
      <c r="H207" s="10"/>
      <c r="I207" s="11"/>
      <c r="J207" s="18"/>
    </row>
    <row r="208" spans="2:10" s="6" customFormat="1">
      <c r="B208" s="8" t="s">
        <v>13</v>
      </c>
      <c r="C208" s="9"/>
      <c r="D208" s="9"/>
      <c r="E208" s="10"/>
      <c r="F208" s="11"/>
      <c r="G208" s="9"/>
      <c r="H208" s="10"/>
      <c r="I208" s="11"/>
      <c r="J208" s="18"/>
    </row>
    <row r="209" spans="2:10" s="6" customFormat="1">
      <c r="B209" s="8" t="s">
        <v>12</v>
      </c>
      <c r="C209" s="9"/>
      <c r="D209" s="9"/>
      <c r="E209" s="10"/>
      <c r="F209" s="11"/>
      <c r="G209" s="9"/>
      <c r="H209" s="10"/>
      <c r="I209" s="11"/>
      <c r="J209" s="18"/>
    </row>
    <row r="210" spans="2:10" s="6" customFormat="1">
      <c r="B210" s="8" t="s">
        <v>11</v>
      </c>
      <c r="C210" s="9"/>
      <c r="D210" s="9"/>
      <c r="E210" s="10"/>
      <c r="F210" s="11"/>
      <c r="G210" s="9"/>
      <c r="H210" s="10"/>
      <c r="I210" s="11"/>
      <c r="J210" s="18"/>
    </row>
    <row r="211" spans="2:10" s="6" customFormat="1">
      <c r="C211" s="12"/>
      <c r="G211" s="12"/>
      <c r="J211" s="21"/>
    </row>
    <row r="212" spans="2:10" s="6" customFormat="1">
      <c r="C212" s="12"/>
      <c r="G212" s="12"/>
      <c r="J212" s="21"/>
    </row>
    <row r="213" spans="2:10" s="6" customFormat="1">
      <c r="B213" s="6" t="s">
        <v>1</v>
      </c>
      <c r="C213" s="12"/>
      <c r="D213" s="25" t="s">
        <v>72</v>
      </c>
      <c r="G213" s="12"/>
      <c r="J213" s="21"/>
    </row>
    <row r="214" spans="2:10" s="6" customFormat="1">
      <c r="B214" s="8" t="s">
        <v>8</v>
      </c>
      <c r="C214" s="9"/>
      <c r="D214" s="12"/>
      <c r="E214" s="13"/>
      <c r="F214" s="13"/>
      <c r="G214" s="12"/>
      <c r="H214" s="13"/>
      <c r="I214" s="13"/>
      <c r="J214" s="22"/>
    </row>
    <row r="215" spans="2:10" s="6" customFormat="1">
      <c r="B215" s="8" t="s">
        <v>7</v>
      </c>
      <c r="C215" s="9"/>
      <c r="D215" s="9"/>
      <c r="E215" s="10"/>
      <c r="F215" s="10"/>
      <c r="G215" s="9"/>
      <c r="H215" s="10"/>
      <c r="I215" s="10"/>
      <c r="J215" s="18"/>
    </row>
    <row r="216" spans="2:10" s="6" customFormat="1">
      <c r="B216" s="8" t="s">
        <v>9</v>
      </c>
      <c r="C216" s="9"/>
      <c r="D216" s="9"/>
      <c r="E216" s="10"/>
      <c r="F216" s="10"/>
      <c r="G216" s="9"/>
      <c r="H216" s="10"/>
      <c r="I216" s="10"/>
      <c r="J216" s="18"/>
    </row>
    <row r="217" spans="2:10" s="6" customFormat="1">
      <c r="B217" s="8" t="s">
        <v>10</v>
      </c>
      <c r="C217" s="9"/>
      <c r="D217" s="9"/>
      <c r="E217" s="10"/>
      <c r="F217" s="10"/>
      <c r="G217" s="9"/>
      <c r="H217" s="10"/>
      <c r="I217" s="10"/>
      <c r="J217" s="18"/>
    </row>
    <row r="218" spans="2:10" s="6" customFormat="1">
      <c r="B218" s="8" t="s">
        <v>13</v>
      </c>
      <c r="C218" s="9"/>
      <c r="D218" s="9"/>
      <c r="E218" s="10"/>
      <c r="F218" s="10"/>
      <c r="G218" s="9"/>
      <c r="H218" s="10"/>
      <c r="I218" s="10"/>
      <c r="J218" s="18"/>
    </row>
    <row r="219" spans="2:10" s="6" customFormat="1">
      <c r="B219" s="8" t="s">
        <v>12</v>
      </c>
      <c r="C219" s="9"/>
      <c r="D219" s="9"/>
      <c r="E219" s="10"/>
      <c r="F219" s="10"/>
      <c r="G219" s="9"/>
      <c r="H219" s="10"/>
      <c r="I219" s="10"/>
      <c r="J219" s="18"/>
    </row>
    <row r="220" spans="2:10" s="6" customFormat="1">
      <c r="B220" s="8" t="s">
        <v>11</v>
      </c>
      <c r="C220" s="9"/>
      <c r="D220" s="9"/>
      <c r="E220" s="10"/>
      <c r="F220" s="10"/>
      <c r="G220" s="9"/>
      <c r="H220" s="10"/>
      <c r="I220" s="10"/>
      <c r="J220" s="18"/>
    </row>
    <row r="221" spans="2:10" s="6" customFormat="1">
      <c r="B221" s="8"/>
      <c r="C221" s="9"/>
      <c r="D221" s="9"/>
      <c r="E221" s="10"/>
      <c r="F221" s="11"/>
      <c r="G221" s="9"/>
      <c r="H221" s="10"/>
      <c r="I221" s="11"/>
      <c r="J221" s="18"/>
    </row>
    <row r="222" spans="2:10" s="6" customFormat="1">
      <c r="C222" s="12"/>
      <c r="G222" s="12"/>
      <c r="J222" s="21"/>
    </row>
    <row r="223" spans="2:10" s="6" customFormat="1">
      <c r="B223" s="6" t="s">
        <v>2</v>
      </c>
      <c r="C223" s="12"/>
      <c r="D223" s="25" t="s">
        <v>73</v>
      </c>
      <c r="G223" s="12"/>
      <c r="J223" s="21"/>
    </row>
    <row r="224" spans="2:10" s="6" customFormat="1">
      <c r="B224" s="8" t="s">
        <v>8</v>
      </c>
      <c r="C224" s="9"/>
      <c r="D224" s="12"/>
      <c r="E224" s="13"/>
      <c r="F224" s="13"/>
      <c r="G224" s="12"/>
      <c r="H224" s="13"/>
      <c r="I224" s="13"/>
      <c r="J224" s="22"/>
    </row>
    <row r="225" spans="2:10" s="6" customFormat="1">
      <c r="B225" s="8" t="s">
        <v>7</v>
      </c>
      <c r="C225" s="9"/>
      <c r="D225" s="9"/>
      <c r="E225" s="10"/>
      <c r="F225" s="10"/>
      <c r="G225" s="9"/>
      <c r="H225" s="10"/>
      <c r="I225" s="10"/>
      <c r="J225" s="18"/>
    </row>
    <row r="226" spans="2:10" s="6" customFormat="1">
      <c r="B226" s="8" t="s">
        <v>9</v>
      </c>
      <c r="C226" s="9"/>
      <c r="D226" s="9"/>
      <c r="E226" s="10"/>
      <c r="F226" s="10"/>
      <c r="G226" s="9"/>
      <c r="H226" s="10"/>
      <c r="I226" s="10"/>
      <c r="J226" s="18"/>
    </row>
    <row r="227" spans="2:10" s="6" customFormat="1">
      <c r="B227" s="8" t="s">
        <v>10</v>
      </c>
      <c r="C227" s="9"/>
      <c r="D227" s="9"/>
      <c r="E227" s="10"/>
      <c r="F227" s="10"/>
      <c r="G227" s="9"/>
      <c r="H227" s="10"/>
      <c r="I227" s="10"/>
      <c r="J227" s="18"/>
    </row>
    <row r="228" spans="2:10" s="6" customFormat="1">
      <c r="B228" s="8" t="s">
        <v>13</v>
      </c>
      <c r="C228" s="9"/>
      <c r="D228" s="9"/>
      <c r="E228" s="10"/>
      <c r="F228" s="10"/>
      <c r="G228" s="9"/>
      <c r="H228" s="10"/>
      <c r="I228" s="10"/>
      <c r="J228" s="18"/>
    </row>
    <row r="229" spans="2:10" s="6" customFormat="1">
      <c r="B229" s="8" t="s">
        <v>12</v>
      </c>
      <c r="C229" s="9"/>
      <c r="D229" s="9"/>
      <c r="E229" s="10"/>
      <c r="F229" s="10"/>
      <c r="G229" s="9"/>
      <c r="H229" s="10"/>
      <c r="I229" s="10"/>
      <c r="J229" s="18"/>
    </row>
    <row r="230" spans="2:10" s="6" customFormat="1">
      <c r="B230" s="8" t="s">
        <v>11</v>
      </c>
      <c r="C230" s="9"/>
      <c r="D230" s="9"/>
      <c r="E230" s="10"/>
      <c r="F230" s="10"/>
      <c r="G230" s="9"/>
      <c r="H230" s="10"/>
      <c r="I230" s="10"/>
      <c r="J230" s="18"/>
    </row>
    <row r="233" spans="2:10" s="6" customFormat="1">
      <c r="B233" s="6" t="s">
        <v>4</v>
      </c>
      <c r="C233" s="12"/>
      <c r="D233" s="6" t="s">
        <v>88</v>
      </c>
      <c r="G233" s="12"/>
      <c r="J233" s="21"/>
    </row>
    <row r="234" spans="2:10" s="6" customFormat="1">
      <c r="B234" s="8" t="s">
        <v>8</v>
      </c>
      <c r="C234" s="9"/>
      <c r="D234" s="9"/>
      <c r="E234" s="10"/>
      <c r="F234" s="11"/>
      <c r="G234" s="9"/>
      <c r="H234" s="10"/>
      <c r="I234" s="11"/>
      <c r="J234" s="18"/>
    </row>
    <row r="235" spans="2:10" s="6" customFormat="1">
      <c r="B235" s="8" t="s">
        <v>7</v>
      </c>
      <c r="C235" s="9"/>
      <c r="D235" s="9"/>
      <c r="E235" s="10"/>
      <c r="F235" s="11"/>
      <c r="G235" s="9"/>
      <c r="H235" s="10"/>
      <c r="I235" s="11"/>
      <c r="J235" s="18"/>
    </row>
    <row r="236" spans="2:10" s="6" customFormat="1">
      <c r="B236" s="8" t="s">
        <v>9</v>
      </c>
      <c r="C236" s="9"/>
      <c r="D236" s="9"/>
      <c r="E236" s="10"/>
      <c r="F236" s="11"/>
      <c r="G236" s="9"/>
      <c r="H236" s="10"/>
      <c r="I236" s="11"/>
      <c r="J236" s="18"/>
    </row>
    <row r="237" spans="2:10" s="6" customFormat="1">
      <c r="B237" s="8" t="s">
        <v>10</v>
      </c>
      <c r="C237" s="9"/>
      <c r="D237" s="9"/>
      <c r="E237" s="10"/>
      <c r="F237" s="11"/>
      <c r="G237" s="9"/>
      <c r="H237" s="10"/>
      <c r="I237" s="11"/>
      <c r="J237" s="18"/>
    </row>
    <row r="238" spans="2:10" s="6" customFormat="1">
      <c r="B238" s="8" t="s">
        <v>13</v>
      </c>
      <c r="C238" s="9"/>
      <c r="D238" s="9"/>
      <c r="E238" s="10"/>
      <c r="F238" s="11"/>
      <c r="G238" s="9"/>
      <c r="H238" s="10"/>
      <c r="I238" s="11"/>
      <c r="J238" s="18"/>
    </row>
    <row r="239" spans="2:10" s="6" customFormat="1">
      <c r="B239" s="8" t="s">
        <v>12</v>
      </c>
      <c r="C239" s="9"/>
      <c r="D239" s="9"/>
      <c r="E239" s="10"/>
      <c r="F239" s="11"/>
      <c r="G239" s="9"/>
      <c r="H239" s="10"/>
      <c r="I239" s="11"/>
      <c r="J239" s="18"/>
    </row>
    <row r="240" spans="2:10" s="6" customFormat="1">
      <c r="B240" s="8" t="s">
        <v>11</v>
      </c>
      <c r="C240" s="9"/>
      <c r="D240" s="9"/>
      <c r="E240" s="10"/>
      <c r="F240" s="11"/>
      <c r="G240" s="9"/>
      <c r="H240" s="10"/>
      <c r="I240" s="11"/>
      <c r="J240" s="18"/>
    </row>
    <row r="241" spans="2:10" s="6" customFormat="1">
      <c r="C241" s="12"/>
      <c r="G241" s="12"/>
      <c r="J241" s="21"/>
    </row>
    <row r="242" spans="2:10" s="6" customFormat="1">
      <c r="C242" s="12"/>
      <c r="G242" s="12"/>
      <c r="J242" s="21"/>
    </row>
    <row r="243" spans="2:10" s="6" customFormat="1">
      <c r="B243" s="6" t="s">
        <v>28</v>
      </c>
      <c r="C243" s="12"/>
      <c r="D243" s="6" t="s">
        <v>89</v>
      </c>
      <c r="G243" s="12"/>
      <c r="J243" s="21"/>
    </row>
    <row r="244" spans="2:10" s="6" customFormat="1">
      <c r="B244" s="8" t="s">
        <v>8</v>
      </c>
      <c r="C244" s="9"/>
      <c r="D244" s="12"/>
      <c r="E244" s="13"/>
      <c r="F244" s="13"/>
      <c r="G244" s="12"/>
      <c r="H244" s="13"/>
      <c r="I244" s="13"/>
      <c r="J244" s="22"/>
    </row>
    <row r="245" spans="2:10" s="6" customFormat="1">
      <c r="B245" s="8" t="s">
        <v>7</v>
      </c>
      <c r="C245" s="9"/>
      <c r="D245" s="9"/>
      <c r="E245" s="10"/>
      <c r="F245" s="10"/>
      <c r="G245" s="9"/>
      <c r="H245" s="10"/>
      <c r="I245" s="10"/>
      <c r="J245" s="18"/>
    </row>
    <row r="246" spans="2:10" s="6" customFormat="1">
      <c r="B246" s="8" t="s">
        <v>9</v>
      </c>
      <c r="C246" s="9"/>
      <c r="D246" s="9"/>
      <c r="E246" s="10"/>
      <c r="F246" s="10"/>
      <c r="G246" s="9"/>
      <c r="H246" s="10"/>
      <c r="I246" s="10"/>
      <c r="J246" s="18"/>
    </row>
    <row r="247" spans="2:10" s="6" customFormat="1">
      <c r="B247" s="8" t="s">
        <v>10</v>
      </c>
      <c r="C247" s="9"/>
      <c r="D247" s="9"/>
      <c r="E247" s="10"/>
      <c r="F247" s="10"/>
      <c r="G247" s="9"/>
      <c r="H247" s="10"/>
      <c r="I247" s="10"/>
      <c r="J247" s="18"/>
    </row>
    <row r="248" spans="2:10" s="6" customFormat="1">
      <c r="B248" s="8" t="s">
        <v>13</v>
      </c>
      <c r="C248" s="9"/>
      <c r="D248" s="9"/>
      <c r="E248" s="10"/>
      <c r="F248" s="10"/>
      <c r="G248" s="9"/>
      <c r="H248" s="10"/>
      <c r="I248" s="10"/>
      <c r="J248" s="18"/>
    </row>
    <row r="249" spans="2:10" s="6" customFormat="1">
      <c r="B249" s="8" t="s">
        <v>12</v>
      </c>
      <c r="C249" s="9"/>
      <c r="D249" s="9"/>
      <c r="E249" s="10"/>
      <c r="F249" s="10"/>
      <c r="G249" s="9"/>
      <c r="H249" s="10"/>
      <c r="I249" s="10"/>
      <c r="J249" s="18"/>
    </row>
    <row r="250" spans="2:10" s="6" customFormat="1">
      <c r="B250" s="8" t="s">
        <v>11</v>
      </c>
      <c r="C250" s="9"/>
      <c r="D250" s="9"/>
      <c r="E250" s="10"/>
      <c r="F250" s="10"/>
      <c r="G250" s="9"/>
      <c r="H250" s="10"/>
      <c r="I250" s="10"/>
      <c r="J250" s="18"/>
    </row>
    <row r="251" spans="2:10" s="6" customFormat="1">
      <c r="B251" s="8"/>
      <c r="C251" s="9"/>
      <c r="D251" s="9"/>
      <c r="E251" s="10"/>
      <c r="F251" s="11"/>
      <c r="G251" s="9"/>
      <c r="H251" s="10"/>
      <c r="I251" s="11"/>
      <c r="J251" s="18"/>
    </row>
    <row r="252" spans="2:10" s="6" customFormat="1">
      <c r="C252" s="12"/>
      <c r="G252" s="12"/>
      <c r="J252" s="21"/>
    </row>
    <row r="253" spans="2:10" s="6" customFormat="1">
      <c r="B253" s="6" t="s">
        <v>115</v>
      </c>
      <c r="C253" s="12"/>
      <c r="D253" s="6" t="s">
        <v>90</v>
      </c>
      <c r="G253" s="12"/>
      <c r="J253" s="21"/>
    </row>
    <row r="254" spans="2:10" s="6" customFormat="1">
      <c r="B254" s="8" t="s">
        <v>8</v>
      </c>
      <c r="C254" s="9"/>
      <c r="D254" s="12"/>
      <c r="E254" s="13"/>
      <c r="F254" s="13"/>
      <c r="G254" s="12"/>
      <c r="H254" s="13"/>
      <c r="I254" s="13"/>
      <c r="J254" s="22"/>
    </row>
    <row r="255" spans="2:10" s="6" customFormat="1">
      <c r="B255" s="8" t="s">
        <v>7</v>
      </c>
      <c r="C255" s="9"/>
      <c r="D255" s="9"/>
      <c r="E255" s="10"/>
      <c r="F255" s="10"/>
      <c r="G255" s="9"/>
      <c r="H255" s="10"/>
      <c r="I255" s="10"/>
      <c r="J255" s="18"/>
    </row>
    <row r="256" spans="2:10" s="6" customFormat="1">
      <c r="B256" s="8" t="s">
        <v>9</v>
      </c>
      <c r="C256" s="9"/>
      <c r="D256" s="9"/>
      <c r="E256" s="10"/>
      <c r="F256" s="10"/>
      <c r="G256" s="9"/>
      <c r="H256" s="10"/>
      <c r="I256" s="10"/>
      <c r="J256" s="18"/>
    </row>
    <row r="257" spans="2:10" s="6" customFormat="1">
      <c r="B257" s="8" t="s">
        <v>10</v>
      </c>
      <c r="C257" s="9"/>
      <c r="D257" s="9"/>
      <c r="E257" s="10"/>
      <c r="F257" s="10"/>
      <c r="G257" s="9"/>
      <c r="H257" s="10"/>
      <c r="I257" s="10"/>
      <c r="J257" s="18"/>
    </row>
    <row r="258" spans="2:10" s="6" customFormat="1">
      <c r="B258" s="8" t="s">
        <v>13</v>
      </c>
      <c r="C258" s="9"/>
      <c r="D258" s="9"/>
      <c r="E258" s="10"/>
      <c r="F258" s="10"/>
      <c r="G258" s="9"/>
      <c r="H258" s="10"/>
      <c r="I258" s="10"/>
      <c r="J258" s="18"/>
    </row>
    <row r="259" spans="2:10" s="6" customFormat="1">
      <c r="B259" s="8" t="s">
        <v>12</v>
      </c>
      <c r="C259" s="9"/>
      <c r="D259" s="9"/>
      <c r="E259" s="10"/>
      <c r="F259" s="10"/>
      <c r="G259" s="9"/>
      <c r="H259" s="10"/>
      <c r="I259" s="10"/>
      <c r="J259" s="18"/>
    </row>
    <row r="260" spans="2:10" s="6" customFormat="1">
      <c r="B260" s="8" t="s">
        <v>11</v>
      </c>
      <c r="C260" s="9"/>
      <c r="D260" s="9"/>
      <c r="E260" s="10"/>
      <c r="F260" s="10"/>
      <c r="G260" s="9"/>
      <c r="H260" s="10"/>
      <c r="I260" s="10"/>
      <c r="J260" s="18"/>
    </row>
    <row r="263" spans="2:10" s="6" customFormat="1">
      <c r="B263" s="6" t="s">
        <v>29</v>
      </c>
      <c r="C263" s="12"/>
      <c r="D263" s="6" t="s">
        <v>91</v>
      </c>
      <c r="G263" s="12"/>
      <c r="J263" s="21"/>
    </row>
    <row r="264" spans="2:10" s="6" customFormat="1">
      <c r="B264" s="8" t="s">
        <v>8</v>
      </c>
      <c r="C264" s="9"/>
      <c r="D264" s="9"/>
      <c r="E264" s="10"/>
      <c r="F264" s="11"/>
      <c r="G264" s="9"/>
      <c r="H264" s="10"/>
      <c r="I264" s="11"/>
      <c r="J264" s="18"/>
    </row>
    <row r="265" spans="2:10" s="6" customFormat="1">
      <c r="B265" s="8" t="s">
        <v>7</v>
      </c>
      <c r="C265" s="9"/>
      <c r="D265" s="9"/>
      <c r="E265" s="10"/>
      <c r="F265" s="11"/>
      <c r="G265" s="9"/>
      <c r="H265" s="10"/>
      <c r="I265" s="11"/>
      <c r="J265" s="18"/>
    </row>
    <row r="266" spans="2:10" s="6" customFormat="1">
      <c r="B266" s="8" t="s">
        <v>9</v>
      </c>
      <c r="C266" s="9"/>
      <c r="D266" s="9"/>
      <c r="E266" s="10"/>
      <c r="F266" s="11"/>
      <c r="G266" s="9"/>
      <c r="H266" s="10"/>
      <c r="I266" s="11"/>
      <c r="J266" s="18"/>
    </row>
    <row r="267" spans="2:10" s="6" customFormat="1">
      <c r="B267" s="8" t="s">
        <v>10</v>
      </c>
      <c r="C267" s="9"/>
      <c r="D267" s="9"/>
      <c r="E267" s="10"/>
      <c r="F267" s="11"/>
      <c r="G267" s="9"/>
      <c r="H267" s="10"/>
      <c r="I267" s="11"/>
      <c r="J267" s="18"/>
    </row>
    <row r="268" spans="2:10" s="6" customFormat="1">
      <c r="B268" s="8" t="s">
        <v>13</v>
      </c>
      <c r="C268" s="9"/>
      <c r="D268" s="9"/>
      <c r="E268" s="10"/>
      <c r="F268" s="11"/>
      <c r="G268" s="9"/>
      <c r="H268" s="10"/>
      <c r="I268" s="11"/>
      <c r="J268" s="18"/>
    </row>
    <row r="269" spans="2:10" s="6" customFormat="1">
      <c r="B269" s="8" t="s">
        <v>12</v>
      </c>
      <c r="C269" s="9"/>
      <c r="D269" s="9"/>
      <c r="E269" s="10"/>
      <c r="F269" s="11"/>
      <c r="G269" s="9"/>
      <c r="H269" s="10"/>
      <c r="I269" s="11"/>
      <c r="J269" s="18"/>
    </row>
    <row r="270" spans="2:10" s="6" customFormat="1">
      <c r="B270" s="8" t="s">
        <v>11</v>
      </c>
      <c r="C270" s="9"/>
      <c r="D270" s="9"/>
      <c r="E270" s="10"/>
      <c r="F270" s="11"/>
      <c r="G270" s="9"/>
      <c r="H270" s="10"/>
      <c r="I270" s="11"/>
      <c r="J270" s="18"/>
    </row>
    <row r="271" spans="2:10" s="6" customFormat="1">
      <c r="C271" s="12"/>
      <c r="G271" s="12"/>
      <c r="J271" s="21"/>
    </row>
    <row r="272" spans="2:10" s="6" customFormat="1">
      <c r="C272" s="12"/>
      <c r="G272" s="12"/>
      <c r="J272" s="21"/>
    </row>
    <row r="273" spans="2:10" s="6" customFormat="1">
      <c r="B273" s="6" t="s">
        <v>30</v>
      </c>
      <c r="C273" s="12"/>
      <c r="D273" s="6" t="s">
        <v>92</v>
      </c>
      <c r="G273" s="12"/>
      <c r="J273" s="21"/>
    </row>
    <row r="274" spans="2:10" s="6" customFormat="1">
      <c r="B274" s="8" t="s">
        <v>8</v>
      </c>
      <c r="C274" s="9"/>
      <c r="D274" s="12"/>
      <c r="E274" s="13"/>
      <c r="F274" s="13"/>
      <c r="G274" s="12"/>
      <c r="H274" s="13"/>
      <c r="I274" s="13"/>
      <c r="J274" s="22"/>
    </row>
    <row r="275" spans="2:10" s="6" customFormat="1">
      <c r="B275" s="8" t="s">
        <v>7</v>
      </c>
      <c r="C275" s="9"/>
      <c r="D275" s="9"/>
      <c r="E275" s="10"/>
      <c r="F275" s="10"/>
      <c r="G275" s="9"/>
      <c r="H275" s="10"/>
      <c r="I275" s="10"/>
      <c r="J275" s="18"/>
    </row>
    <row r="276" spans="2:10" s="6" customFormat="1">
      <c r="B276" s="8" t="s">
        <v>9</v>
      </c>
      <c r="C276" s="9"/>
      <c r="D276" s="9"/>
      <c r="E276" s="10"/>
      <c r="F276" s="10"/>
      <c r="G276" s="9"/>
      <c r="H276" s="10"/>
      <c r="I276" s="10"/>
      <c r="J276" s="18"/>
    </row>
    <row r="277" spans="2:10" s="6" customFormat="1">
      <c r="B277" s="8" t="s">
        <v>10</v>
      </c>
      <c r="C277" s="9"/>
      <c r="D277" s="9"/>
      <c r="E277" s="10"/>
      <c r="F277" s="10"/>
      <c r="G277" s="9"/>
      <c r="H277" s="10"/>
      <c r="I277" s="10"/>
      <c r="J277" s="18"/>
    </row>
    <row r="278" spans="2:10" s="6" customFormat="1">
      <c r="B278" s="8" t="s">
        <v>13</v>
      </c>
      <c r="C278" s="9"/>
      <c r="D278" s="9"/>
      <c r="E278" s="10"/>
      <c r="F278" s="10"/>
      <c r="G278" s="9"/>
      <c r="H278" s="10"/>
      <c r="I278" s="10"/>
      <c r="J278" s="18"/>
    </row>
    <row r="279" spans="2:10" s="6" customFormat="1">
      <c r="B279" s="8" t="s">
        <v>12</v>
      </c>
      <c r="C279" s="9"/>
      <c r="D279" s="9"/>
      <c r="E279" s="10"/>
      <c r="F279" s="10"/>
      <c r="G279" s="9"/>
      <c r="H279" s="10"/>
      <c r="I279" s="10"/>
      <c r="J279" s="18"/>
    </row>
    <row r="280" spans="2:10" s="6" customFormat="1">
      <c r="B280" s="8" t="s">
        <v>11</v>
      </c>
      <c r="C280" s="9"/>
      <c r="D280" s="9"/>
      <c r="E280" s="10"/>
      <c r="F280" s="10"/>
      <c r="G280" s="9"/>
      <c r="H280" s="10"/>
      <c r="I280" s="10"/>
      <c r="J280" s="18"/>
    </row>
    <row r="281" spans="2:10" s="6" customFormat="1">
      <c r="B281" s="8"/>
      <c r="C281" s="9"/>
      <c r="D281" s="9"/>
      <c r="E281" s="10"/>
      <c r="F281" s="11"/>
      <c r="G281" s="9"/>
      <c r="H281" s="10"/>
      <c r="I281" s="11"/>
      <c r="J281" s="18"/>
    </row>
    <row r="282" spans="2:10" s="6" customFormat="1">
      <c r="C282" s="12"/>
      <c r="G282" s="12"/>
      <c r="J282" s="21"/>
    </row>
    <row r="283" spans="2:10" s="6" customFormat="1">
      <c r="B283" s="6" t="s">
        <v>31</v>
      </c>
      <c r="C283" s="12"/>
      <c r="D283" s="6" t="s">
        <v>93</v>
      </c>
      <c r="G283" s="12"/>
      <c r="J283" s="21"/>
    </row>
    <row r="284" spans="2:10" s="6" customFormat="1">
      <c r="B284" s="8" t="s">
        <v>8</v>
      </c>
      <c r="C284" s="9"/>
      <c r="D284" s="12"/>
      <c r="E284" s="13"/>
      <c r="F284" s="13"/>
      <c r="G284" s="12"/>
      <c r="H284" s="13"/>
      <c r="I284" s="13"/>
      <c r="J284" s="22"/>
    </row>
    <row r="285" spans="2:10" s="6" customFormat="1">
      <c r="B285" s="8" t="s">
        <v>7</v>
      </c>
      <c r="C285" s="9"/>
      <c r="D285" s="9"/>
      <c r="E285" s="10"/>
      <c r="F285" s="10"/>
      <c r="G285" s="9"/>
      <c r="H285" s="10"/>
      <c r="I285" s="10"/>
      <c r="J285" s="18"/>
    </row>
    <row r="286" spans="2:10" s="6" customFormat="1">
      <c r="B286" s="8" t="s">
        <v>9</v>
      </c>
      <c r="C286" s="9"/>
      <c r="D286" s="9"/>
      <c r="E286" s="10"/>
      <c r="F286" s="10"/>
      <c r="G286" s="9"/>
      <c r="H286" s="10"/>
      <c r="I286" s="10"/>
      <c r="J286" s="18"/>
    </row>
    <row r="287" spans="2:10" s="6" customFormat="1">
      <c r="B287" s="8" t="s">
        <v>10</v>
      </c>
      <c r="C287" s="9"/>
      <c r="D287" s="9"/>
      <c r="E287" s="10"/>
      <c r="F287" s="10"/>
      <c r="G287" s="9"/>
      <c r="H287" s="10"/>
      <c r="I287" s="10"/>
      <c r="J287" s="18"/>
    </row>
    <row r="288" spans="2:10" s="6" customFormat="1">
      <c r="B288" s="8" t="s">
        <v>13</v>
      </c>
      <c r="C288" s="9"/>
      <c r="D288" s="9"/>
      <c r="E288" s="10"/>
      <c r="F288" s="10"/>
      <c r="G288" s="9"/>
      <c r="H288" s="10"/>
      <c r="I288" s="10"/>
      <c r="J288" s="18"/>
    </row>
    <row r="289" spans="2:10" s="6" customFormat="1">
      <c r="B289" s="8" t="s">
        <v>12</v>
      </c>
      <c r="C289" s="9"/>
      <c r="D289" s="9"/>
      <c r="E289" s="10"/>
      <c r="F289" s="10"/>
      <c r="G289" s="9"/>
      <c r="H289" s="10"/>
      <c r="I289" s="10"/>
      <c r="J289" s="18"/>
    </row>
    <row r="290" spans="2:10" s="6" customFormat="1">
      <c r="B290" s="8" t="s">
        <v>11</v>
      </c>
      <c r="C290" s="9"/>
      <c r="D290" s="9"/>
      <c r="E290" s="10"/>
      <c r="F290" s="10"/>
      <c r="G290" s="9"/>
      <c r="H290" s="10"/>
      <c r="I290" s="10"/>
      <c r="J290" s="18"/>
    </row>
    <row r="293" spans="2:10" s="6" customFormat="1">
      <c r="B293" s="6" t="s">
        <v>20</v>
      </c>
      <c r="C293" s="12"/>
      <c r="D293" s="6" t="s">
        <v>94</v>
      </c>
      <c r="G293" s="12"/>
      <c r="J293" s="21"/>
    </row>
    <row r="294" spans="2:10" s="6" customFormat="1">
      <c r="B294" s="8" t="s">
        <v>8</v>
      </c>
      <c r="C294" s="9"/>
      <c r="D294" s="9"/>
      <c r="E294" s="10"/>
      <c r="F294" s="11"/>
      <c r="G294" s="9"/>
      <c r="H294" s="10"/>
      <c r="I294" s="11"/>
      <c r="J294" s="18"/>
    </row>
    <row r="295" spans="2:10" s="6" customFormat="1">
      <c r="B295" s="8" t="s">
        <v>7</v>
      </c>
      <c r="C295" s="9"/>
      <c r="D295" s="9"/>
      <c r="E295" s="10"/>
      <c r="F295" s="11"/>
      <c r="G295" s="9"/>
      <c r="H295" s="10"/>
      <c r="I295" s="11"/>
      <c r="J295" s="18"/>
    </row>
    <row r="296" spans="2:10" s="6" customFormat="1">
      <c r="B296" s="8" t="s">
        <v>9</v>
      </c>
      <c r="C296" s="9"/>
      <c r="D296" s="9"/>
      <c r="E296" s="10"/>
      <c r="F296" s="11"/>
      <c r="G296" s="9"/>
      <c r="H296" s="10"/>
      <c r="I296" s="11"/>
      <c r="J296" s="18"/>
    </row>
    <row r="297" spans="2:10" s="6" customFormat="1">
      <c r="B297" s="8" t="s">
        <v>10</v>
      </c>
      <c r="C297" s="9"/>
      <c r="D297" s="9"/>
      <c r="E297" s="10"/>
      <c r="F297" s="11"/>
      <c r="G297" s="9"/>
      <c r="H297" s="10"/>
      <c r="I297" s="11"/>
      <c r="J297" s="18"/>
    </row>
    <row r="298" spans="2:10" s="6" customFormat="1">
      <c r="B298" s="8" t="s">
        <v>13</v>
      </c>
      <c r="C298" s="9"/>
      <c r="D298" s="9"/>
      <c r="E298" s="10"/>
      <c r="F298" s="11"/>
      <c r="G298" s="9"/>
      <c r="H298" s="10"/>
      <c r="I298" s="11"/>
      <c r="J298" s="18"/>
    </row>
    <row r="299" spans="2:10" s="6" customFormat="1">
      <c r="B299" s="8" t="s">
        <v>12</v>
      </c>
      <c r="C299" s="9"/>
      <c r="D299" s="9"/>
      <c r="E299" s="10"/>
      <c r="F299" s="11"/>
      <c r="G299" s="9"/>
      <c r="H299" s="10"/>
      <c r="I299" s="11"/>
      <c r="J299" s="18"/>
    </row>
    <row r="300" spans="2:10" s="6" customFormat="1">
      <c r="B300" s="8" t="s">
        <v>11</v>
      </c>
      <c r="C300" s="9"/>
      <c r="D300" s="9"/>
      <c r="E300" s="10"/>
      <c r="F300" s="11"/>
      <c r="G300" s="9"/>
      <c r="H300" s="10"/>
      <c r="I300" s="11"/>
      <c r="J300" s="18"/>
    </row>
    <row r="301" spans="2:10" s="6" customFormat="1">
      <c r="C301" s="12"/>
      <c r="G301" s="12"/>
      <c r="J301" s="21"/>
    </row>
    <row r="302" spans="2:10" s="6" customFormat="1">
      <c r="C302" s="12"/>
      <c r="G302" s="12"/>
      <c r="J302" s="21"/>
    </row>
    <row r="303" spans="2:10" s="6" customFormat="1">
      <c r="B303" s="6" t="s">
        <v>21</v>
      </c>
      <c r="C303" s="12"/>
      <c r="D303" s="6" t="s">
        <v>95</v>
      </c>
      <c r="G303" s="12"/>
      <c r="J303" s="21"/>
    </row>
    <row r="304" spans="2:10" s="6" customFormat="1">
      <c r="B304" s="8" t="s">
        <v>8</v>
      </c>
      <c r="C304" s="9"/>
      <c r="D304" s="12"/>
      <c r="E304" s="13"/>
      <c r="F304" s="13"/>
      <c r="G304" s="12"/>
      <c r="H304" s="13"/>
      <c r="I304" s="13"/>
      <c r="J304" s="22"/>
    </row>
    <row r="305" spans="2:10" s="6" customFormat="1">
      <c r="B305" s="8" t="s">
        <v>7</v>
      </c>
      <c r="C305" s="9"/>
      <c r="D305" s="9"/>
      <c r="E305" s="10"/>
      <c r="F305" s="10"/>
      <c r="G305" s="9"/>
      <c r="H305" s="10"/>
      <c r="I305" s="10"/>
      <c r="J305" s="18"/>
    </row>
    <row r="306" spans="2:10" s="6" customFormat="1">
      <c r="B306" s="8" t="s">
        <v>9</v>
      </c>
      <c r="C306" s="9"/>
      <c r="D306" s="9"/>
      <c r="E306" s="10"/>
      <c r="F306" s="10"/>
      <c r="G306" s="9"/>
      <c r="H306" s="10"/>
      <c r="I306" s="10"/>
      <c r="J306" s="18"/>
    </row>
    <row r="307" spans="2:10" s="6" customFormat="1">
      <c r="B307" s="8" t="s">
        <v>10</v>
      </c>
      <c r="C307" s="9"/>
      <c r="D307" s="9"/>
      <c r="E307" s="10"/>
      <c r="F307" s="10"/>
      <c r="G307" s="9"/>
      <c r="H307" s="10"/>
      <c r="I307" s="10"/>
      <c r="J307" s="18"/>
    </row>
    <row r="308" spans="2:10" s="6" customFormat="1">
      <c r="B308" s="8" t="s">
        <v>13</v>
      </c>
      <c r="C308" s="9"/>
      <c r="D308" s="9"/>
      <c r="E308" s="10"/>
      <c r="F308" s="10"/>
      <c r="G308" s="9"/>
      <c r="H308" s="10"/>
      <c r="I308" s="10"/>
      <c r="J308" s="18"/>
    </row>
    <row r="309" spans="2:10" s="6" customFormat="1">
      <c r="B309" s="8" t="s">
        <v>12</v>
      </c>
      <c r="C309" s="9"/>
      <c r="D309" s="9"/>
      <c r="E309" s="10"/>
      <c r="F309" s="10"/>
      <c r="G309" s="9"/>
      <c r="H309" s="10"/>
      <c r="I309" s="10"/>
      <c r="J309" s="18"/>
    </row>
    <row r="310" spans="2:10" s="6" customFormat="1">
      <c r="B310" s="8" t="s">
        <v>11</v>
      </c>
      <c r="C310" s="9"/>
      <c r="D310" s="9"/>
      <c r="E310" s="10"/>
      <c r="F310" s="10"/>
      <c r="G310" s="9"/>
      <c r="H310" s="10"/>
      <c r="I310" s="10"/>
      <c r="J310" s="18"/>
    </row>
    <row r="311" spans="2:10" s="6" customFormat="1">
      <c r="B311" s="8"/>
      <c r="C311" s="9"/>
      <c r="D311" s="9"/>
      <c r="E311" s="10"/>
      <c r="F311" s="11"/>
      <c r="G311" s="9"/>
      <c r="H311" s="10"/>
      <c r="I311" s="11"/>
      <c r="J311" s="18"/>
    </row>
    <row r="312" spans="2:10" s="6" customFormat="1">
      <c r="C312" s="12"/>
      <c r="G312" s="12"/>
      <c r="J312" s="21"/>
    </row>
    <row r="313" spans="2:10" s="6" customFormat="1">
      <c r="B313" s="6" t="s">
        <v>22</v>
      </c>
      <c r="C313" s="12"/>
      <c r="D313" s="6" t="s">
        <v>96</v>
      </c>
      <c r="G313" s="12"/>
      <c r="J313" s="21"/>
    </row>
    <row r="314" spans="2:10" s="6" customFormat="1">
      <c r="B314" s="8" t="s">
        <v>8</v>
      </c>
      <c r="C314" s="9"/>
      <c r="D314" s="12"/>
      <c r="E314" s="13"/>
      <c r="F314" s="13"/>
      <c r="G314" s="12"/>
      <c r="H314" s="13"/>
      <c r="I314" s="13"/>
      <c r="J314" s="22"/>
    </row>
    <row r="315" spans="2:10" s="6" customFormat="1">
      <c r="B315" s="8" t="s">
        <v>7</v>
      </c>
      <c r="C315" s="9"/>
      <c r="D315" s="9"/>
      <c r="E315" s="10"/>
      <c r="F315" s="10"/>
      <c r="G315" s="9"/>
      <c r="H315" s="10"/>
      <c r="I315" s="10"/>
      <c r="J315" s="18"/>
    </row>
    <row r="316" spans="2:10" s="6" customFormat="1">
      <c r="B316" s="8" t="s">
        <v>9</v>
      </c>
      <c r="C316" s="9"/>
      <c r="D316" s="9"/>
      <c r="E316" s="10"/>
      <c r="F316" s="10"/>
      <c r="G316" s="9"/>
      <c r="H316" s="10"/>
      <c r="I316" s="10"/>
      <c r="J316" s="18"/>
    </row>
    <row r="317" spans="2:10" s="6" customFormat="1">
      <c r="B317" s="8" t="s">
        <v>10</v>
      </c>
      <c r="C317" s="9"/>
      <c r="D317" s="9"/>
      <c r="E317" s="10"/>
      <c r="F317" s="10"/>
      <c r="G317" s="9"/>
      <c r="H317" s="10"/>
      <c r="I317" s="10"/>
      <c r="J317" s="18"/>
    </row>
    <row r="318" spans="2:10" s="6" customFormat="1">
      <c r="B318" s="8" t="s">
        <v>13</v>
      </c>
      <c r="C318" s="9"/>
      <c r="D318" s="9"/>
      <c r="E318" s="10"/>
      <c r="F318" s="10"/>
      <c r="G318" s="9"/>
      <c r="H318" s="10"/>
      <c r="I318" s="10"/>
      <c r="J318" s="18"/>
    </row>
    <row r="319" spans="2:10" s="6" customFormat="1">
      <c r="B319" s="8" t="s">
        <v>12</v>
      </c>
      <c r="C319" s="9"/>
      <c r="D319" s="9"/>
      <c r="E319" s="10"/>
      <c r="F319" s="10"/>
      <c r="G319" s="9"/>
      <c r="H319" s="10"/>
      <c r="I319" s="10"/>
      <c r="J319" s="18"/>
    </row>
    <row r="320" spans="2:10" s="6" customFormat="1">
      <c r="B320" s="8" t="s">
        <v>11</v>
      </c>
      <c r="C320" s="9"/>
      <c r="D320" s="9"/>
      <c r="E320" s="10"/>
      <c r="F320" s="10"/>
      <c r="G320" s="9"/>
      <c r="H320" s="10"/>
      <c r="I320" s="10"/>
      <c r="J320" s="18"/>
    </row>
    <row r="323" spans="2:10" s="6" customFormat="1">
      <c r="B323" s="6" t="s">
        <v>23</v>
      </c>
      <c r="C323" s="12"/>
      <c r="D323" s="6" t="s">
        <v>97</v>
      </c>
      <c r="G323" s="12"/>
      <c r="J323" s="21"/>
    </row>
    <row r="324" spans="2:10" s="6" customFormat="1">
      <c r="B324" s="8" t="s">
        <v>8</v>
      </c>
      <c r="C324" s="9"/>
      <c r="D324" s="9"/>
      <c r="E324" s="10"/>
      <c r="F324" s="11"/>
      <c r="G324" s="9"/>
      <c r="H324" s="10"/>
      <c r="I324" s="11"/>
      <c r="J324" s="18"/>
    </row>
    <row r="325" spans="2:10" s="6" customFormat="1">
      <c r="B325" s="8" t="s">
        <v>7</v>
      </c>
      <c r="C325" s="9"/>
      <c r="D325" s="9"/>
      <c r="E325" s="10"/>
      <c r="F325" s="11"/>
      <c r="G325" s="9"/>
      <c r="H325" s="10"/>
      <c r="I325" s="11"/>
      <c r="J325" s="18"/>
    </row>
    <row r="326" spans="2:10" s="6" customFormat="1">
      <c r="B326" s="8" t="s">
        <v>9</v>
      </c>
      <c r="C326" s="9"/>
      <c r="D326" s="9"/>
      <c r="E326" s="10"/>
      <c r="F326" s="11"/>
      <c r="G326" s="9"/>
      <c r="H326" s="10"/>
      <c r="I326" s="11"/>
      <c r="J326" s="18"/>
    </row>
    <row r="327" spans="2:10" s="6" customFormat="1">
      <c r="B327" s="8" t="s">
        <v>10</v>
      </c>
      <c r="C327" s="9"/>
      <c r="D327" s="9"/>
      <c r="E327" s="10"/>
      <c r="F327" s="11"/>
      <c r="G327" s="9"/>
      <c r="H327" s="10"/>
      <c r="I327" s="11"/>
      <c r="J327" s="18"/>
    </row>
    <row r="328" spans="2:10" s="6" customFormat="1">
      <c r="B328" s="8" t="s">
        <v>13</v>
      </c>
      <c r="C328" s="9"/>
      <c r="D328" s="9"/>
      <c r="E328" s="10"/>
      <c r="F328" s="11"/>
      <c r="G328" s="9"/>
      <c r="H328" s="10"/>
      <c r="I328" s="11"/>
      <c r="J328" s="18"/>
    </row>
    <row r="329" spans="2:10" s="6" customFormat="1">
      <c r="B329" s="8" t="s">
        <v>12</v>
      </c>
      <c r="C329" s="9"/>
      <c r="D329" s="9"/>
      <c r="E329" s="10"/>
      <c r="F329" s="11"/>
      <c r="G329" s="9"/>
      <c r="H329" s="10"/>
      <c r="I329" s="11"/>
      <c r="J329" s="18"/>
    </row>
    <row r="330" spans="2:10" s="6" customFormat="1">
      <c r="B330" s="8" t="s">
        <v>11</v>
      </c>
      <c r="C330" s="9"/>
      <c r="D330" s="9"/>
      <c r="E330" s="10"/>
      <c r="F330" s="11"/>
      <c r="G330" s="9"/>
      <c r="H330" s="10"/>
      <c r="I330" s="11"/>
      <c r="J330" s="18"/>
    </row>
    <row r="331" spans="2:10" s="6" customFormat="1">
      <c r="C331" s="12"/>
      <c r="G331" s="12"/>
      <c r="J331" s="21"/>
    </row>
    <row r="332" spans="2:10" s="6" customFormat="1">
      <c r="C332" s="12"/>
      <c r="G332" s="12"/>
      <c r="J332" s="21"/>
    </row>
    <row r="333" spans="2:10" s="6" customFormat="1">
      <c r="B333" s="6" t="s">
        <v>32</v>
      </c>
      <c r="C333" s="12"/>
      <c r="D333" s="6" t="s">
        <v>98</v>
      </c>
      <c r="G333" s="12"/>
      <c r="J333" s="21"/>
    </row>
    <row r="334" spans="2:10" s="6" customFormat="1">
      <c r="B334" s="8" t="s">
        <v>8</v>
      </c>
      <c r="C334" s="9"/>
      <c r="D334" s="12"/>
      <c r="E334" s="13"/>
      <c r="F334" s="13"/>
      <c r="G334" s="12"/>
      <c r="H334" s="13"/>
      <c r="I334" s="13"/>
      <c r="J334" s="22"/>
    </row>
    <row r="335" spans="2:10" s="6" customFormat="1">
      <c r="B335" s="8" t="s">
        <v>7</v>
      </c>
      <c r="C335" s="9"/>
      <c r="D335" s="9"/>
      <c r="E335" s="10"/>
      <c r="F335" s="10"/>
      <c r="G335" s="9"/>
      <c r="H335" s="10"/>
      <c r="I335" s="10"/>
      <c r="J335" s="18"/>
    </row>
    <row r="336" spans="2:10" s="6" customFormat="1">
      <c r="B336" s="8" t="s">
        <v>9</v>
      </c>
      <c r="C336" s="9"/>
      <c r="D336" s="9"/>
      <c r="E336" s="10"/>
      <c r="F336" s="10"/>
      <c r="G336" s="9"/>
      <c r="H336" s="10"/>
      <c r="I336" s="10"/>
      <c r="J336" s="18"/>
    </row>
    <row r="337" spans="2:10" s="6" customFormat="1">
      <c r="B337" s="8" t="s">
        <v>10</v>
      </c>
      <c r="C337" s="9"/>
      <c r="D337" s="9"/>
      <c r="E337" s="10"/>
      <c r="F337" s="10"/>
      <c r="G337" s="9"/>
      <c r="H337" s="10"/>
      <c r="I337" s="10"/>
      <c r="J337" s="18"/>
    </row>
    <row r="338" spans="2:10" s="6" customFormat="1">
      <c r="B338" s="8" t="s">
        <v>13</v>
      </c>
      <c r="C338" s="9"/>
      <c r="D338" s="9"/>
      <c r="E338" s="10"/>
      <c r="F338" s="10"/>
      <c r="G338" s="9"/>
      <c r="H338" s="10"/>
      <c r="I338" s="10"/>
      <c r="J338" s="18"/>
    </row>
    <row r="339" spans="2:10" s="6" customFormat="1">
      <c r="B339" s="8" t="s">
        <v>12</v>
      </c>
      <c r="C339" s="9"/>
      <c r="D339" s="9"/>
      <c r="E339" s="10"/>
      <c r="F339" s="10"/>
      <c r="G339" s="9"/>
      <c r="H339" s="10"/>
      <c r="I339" s="10"/>
      <c r="J339" s="18"/>
    </row>
    <row r="340" spans="2:10" s="6" customFormat="1">
      <c r="B340" s="8" t="s">
        <v>11</v>
      </c>
      <c r="C340" s="9"/>
      <c r="D340" s="9"/>
      <c r="E340" s="10"/>
      <c r="F340" s="10"/>
      <c r="G340" s="9"/>
      <c r="H340" s="10"/>
      <c r="I340" s="10"/>
      <c r="J340" s="18"/>
    </row>
    <row r="341" spans="2:10" s="6" customFormat="1">
      <c r="B341" s="8"/>
      <c r="C341" s="9"/>
      <c r="D341" s="9"/>
      <c r="E341" s="10"/>
      <c r="F341" s="11"/>
      <c r="G341" s="9"/>
      <c r="H341" s="10"/>
      <c r="I341" s="11"/>
      <c r="J341" s="18"/>
    </row>
    <row r="342" spans="2:10" s="6" customFormat="1">
      <c r="C342" s="12"/>
      <c r="G342" s="12"/>
      <c r="J342" s="21"/>
    </row>
    <row r="343" spans="2:10" s="6" customFormat="1">
      <c r="B343" s="6" t="s">
        <v>33</v>
      </c>
      <c r="C343" s="12"/>
      <c r="D343" s="6" t="s">
        <v>74</v>
      </c>
      <c r="G343" s="12"/>
      <c r="J343" s="21"/>
    </row>
    <row r="344" spans="2:10" s="6" customFormat="1">
      <c r="B344" s="8" t="s">
        <v>8</v>
      </c>
      <c r="C344" s="9"/>
      <c r="D344" s="12"/>
      <c r="E344" s="13"/>
      <c r="F344" s="13"/>
      <c r="G344" s="12"/>
      <c r="H344" s="13"/>
      <c r="I344" s="13"/>
      <c r="J344" s="22"/>
    </row>
    <row r="345" spans="2:10" s="6" customFormat="1">
      <c r="B345" s="8" t="s">
        <v>7</v>
      </c>
      <c r="C345" s="9"/>
      <c r="D345" s="9"/>
      <c r="E345" s="10"/>
      <c r="F345" s="10"/>
      <c r="G345" s="9"/>
      <c r="H345" s="10"/>
      <c r="I345" s="10"/>
      <c r="J345" s="18"/>
    </row>
    <row r="346" spans="2:10" s="6" customFormat="1">
      <c r="B346" s="8" t="s">
        <v>9</v>
      </c>
      <c r="C346" s="9"/>
      <c r="D346" s="9"/>
      <c r="E346" s="10"/>
      <c r="F346" s="10"/>
      <c r="G346" s="9"/>
      <c r="H346" s="10"/>
      <c r="I346" s="10"/>
      <c r="J346" s="18"/>
    </row>
    <row r="347" spans="2:10" s="6" customFormat="1">
      <c r="B347" s="8" t="s">
        <v>10</v>
      </c>
      <c r="C347" s="9"/>
      <c r="D347" s="9"/>
      <c r="E347" s="10"/>
      <c r="F347" s="10"/>
      <c r="G347" s="9"/>
      <c r="H347" s="10"/>
      <c r="I347" s="10"/>
      <c r="J347" s="18"/>
    </row>
    <row r="348" spans="2:10" s="6" customFormat="1">
      <c r="B348" s="8" t="s">
        <v>13</v>
      </c>
      <c r="C348" s="9"/>
      <c r="D348" s="9"/>
      <c r="E348" s="10"/>
      <c r="F348" s="10"/>
      <c r="G348" s="9"/>
      <c r="H348" s="10"/>
      <c r="I348" s="10"/>
      <c r="J348" s="18"/>
    </row>
    <row r="349" spans="2:10" s="6" customFormat="1">
      <c r="B349" s="8" t="s">
        <v>12</v>
      </c>
      <c r="C349" s="9"/>
      <c r="D349" s="9"/>
      <c r="E349" s="10"/>
      <c r="F349" s="10"/>
      <c r="G349" s="9"/>
      <c r="H349" s="10"/>
      <c r="I349" s="10"/>
      <c r="J349" s="18"/>
    </row>
    <row r="350" spans="2:10" s="6" customFormat="1">
      <c r="B350" s="8" t="s">
        <v>11</v>
      </c>
      <c r="C350" s="9"/>
      <c r="D350" s="9"/>
      <c r="E350" s="10"/>
      <c r="F350" s="10"/>
      <c r="G350" s="9"/>
      <c r="H350" s="10"/>
      <c r="I350" s="10"/>
      <c r="J350" s="18"/>
    </row>
    <row r="353" spans="2:9">
      <c r="B353" s="6" t="s">
        <v>35</v>
      </c>
      <c r="D353" s="24" t="s">
        <v>100</v>
      </c>
    </row>
    <row r="354" spans="2:9">
      <c r="B354" s="8" t="s">
        <v>8</v>
      </c>
      <c r="E354" s="30"/>
      <c r="F354" s="30"/>
      <c r="H354" s="31"/>
      <c r="I354" s="31"/>
    </row>
    <row r="355" spans="2:9">
      <c r="B355" s="8" t="s">
        <v>7</v>
      </c>
      <c r="E355" s="30"/>
      <c r="F355" s="30"/>
      <c r="H355" s="31"/>
      <c r="I355" s="31"/>
    </row>
    <row r="356" spans="2:9">
      <c r="B356" s="8" t="s">
        <v>9</v>
      </c>
      <c r="E356" s="30"/>
      <c r="F356" s="30"/>
      <c r="H356" s="31"/>
      <c r="I356" s="31"/>
    </row>
    <row r="357" spans="2:9">
      <c r="B357" s="8" t="s">
        <v>10</v>
      </c>
      <c r="E357" s="30"/>
      <c r="F357" s="30"/>
      <c r="H357" s="31"/>
      <c r="I357" s="31"/>
    </row>
    <row r="358" spans="2:9">
      <c r="B358" s="8" t="s">
        <v>13</v>
      </c>
      <c r="E358" s="30"/>
      <c r="F358" s="30"/>
      <c r="H358" s="31"/>
      <c r="I358" s="31"/>
    </row>
    <row r="359" spans="2:9">
      <c r="B359" s="8" t="s">
        <v>12</v>
      </c>
      <c r="E359" s="30"/>
      <c r="F359" s="30"/>
      <c r="H359" s="31"/>
      <c r="I359" s="31"/>
    </row>
    <row r="360" spans="2:9">
      <c r="B360" s="8" t="s">
        <v>11</v>
      </c>
      <c r="E360" s="30"/>
      <c r="F360" s="30"/>
      <c r="H360" s="31"/>
      <c r="I360" s="31"/>
    </row>
    <row r="363" spans="2:9">
      <c r="B363" s="6" t="s">
        <v>70</v>
      </c>
      <c r="D363" s="24" t="s">
        <v>99</v>
      </c>
    </row>
    <row r="364" spans="2:9">
      <c r="B364" s="8" t="s">
        <v>8</v>
      </c>
      <c r="E364" s="30"/>
      <c r="F364" s="30"/>
      <c r="H364" s="31"/>
      <c r="I364" s="31"/>
    </row>
    <row r="365" spans="2:9">
      <c r="B365" s="8" t="s">
        <v>7</v>
      </c>
      <c r="E365" s="30"/>
      <c r="F365" s="30"/>
      <c r="H365" s="31"/>
      <c r="I365" s="31"/>
    </row>
    <row r="366" spans="2:9">
      <c r="B366" s="8" t="s">
        <v>9</v>
      </c>
      <c r="E366" s="30"/>
      <c r="F366" s="30"/>
      <c r="H366" s="31"/>
      <c r="I366" s="31"/>
    </row>
    <row r="367" spans="2:9">
      <c r="B367" s="8" t="s">
        <v>10</v>
      </c>
      <c r="E367" s="30"/>
      <c r="F367" s="30"/>
      <c r="H367" s="31"/>
      <c r="I367" s="31"/>
    </row>
    <row r="368" spans="2:9">
      <c r="B368" s="8" t="s">
        <v>13</v>
      </c>
      <c r="E368" s="30"/>
      <c r="F368" s="30"/>
      <c r="H368" s="31"/>
      <c r="I368" s="31"/>
    </row>
    <row r="369" spans="2:9">
      <c r="B369" s="8" t="s">
        <v>12</v>
      </c>
      <c r="E369" s="30"/>
      <c r="F369" s="30"/>
      <c r="H369" s="31"/>
      <c r="I369" s="31"/>
    </row>
    <row r="370" spans="2:9">
      <c r="B370" s="8" t="s">
        <v>11</v>
      </c>
      <c r="E370" s="30"/>
      <c r="F370" s="30"/>
      <c r="H370" s="31"/>
      <c r="I370" s="31"/>
    </row>
    <row r="373" spans="2:9">
      <c r="B373" s="6" t="s">
        <v>103</v>
      </c>
      <c r="D373" s="25" t="s">
        <v>104</v>
      </c>
    </row>
    <row r="374" spans="2:9">
      <c r="B374" s="8" t="s">
        <v>8</v>
      </c>
      <c r="E374" s="30"/>
      <c r="F374" s="30"/>
      <c r="H374" s="30"/>
      <c r="I374" s="30"/>
    </row>
    <row r="375" spans="2:9">
      <c r="B375" s="8" t="s">
        <v>7</v>
      </c>
      <c r="E375" s="30"/>
      <c r="F375" s="30"/>
      <c r="H375" s="30"/>
      <c r="I375" s="30"/>
    </row>
    <row r="376" spans="2:9">
      <c r="B376" s="8" t="s">
        <v>9</v>
      </c>
      <c r="E376" s="30"/>
      <c r="F376" s="30"/>
      <c r="H376" s="30"/>
      <c r="I376" s="30"/>
    </row>
    <row r="377" spans="2:9">
      <c r="B377" s="8" t="s">
        <v>10</v>
      </c>
      <c r="E377" s="30"/>
      <c r="F377" s="30"/>
      <c r="H377" s="30"/>
      <c r="I377" s="30"/>
    </row>
    <row r="378" spans="2:9">
      <c r="B378" s="8" t="s">
        <v>13</v>
      </c>
      <c r="E378" s="30"/>
      <c r="F378" s="30"/>
      <c r="H378" s="30"/>
      <c r="I378" s="30"/>
    </row>
    <row r="379" spans="2:9">
      <c r="B379" s="8" t="s">
        <v>12</v>
      </c>
      <c r="E379" s="30"/>
      <c r="F379" s="30"/>
      <c r="H379" s="30"/>
      <c r="I379" s="30"/>
    </row>
    <row r="380" spans="2:9">
      <c r="B380" s="8" t="s">
        <v>11</v>
      </c>
      <c r="E380" s="30"/>
      <c r="F380" s="30"/>
      <c r="H380" s="30"/>
      <c r="I380" s="30"/>
    </row>
    <row r="411" hidden="1"/>
  </sheetData>
  <customSheetViews>
    <customSheetView guid="{6539DA85-997C-490C-BA35-1E84C785641A}" scale="205" hiddenRows="1" hiddenColumns="1">
      <selection activeCell="B2" sqref="B2"/>
      <pageMargins left="0.7" right="0.7" top="0.75" bottom="0.75" header="0.3" footer="0.3"/>
      <pageSetup paperSize="9" orientation="landscape" r:id="rId1"/>
    </customSheetView>
  </customSheetViews>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G5:G11 D5:D11">
      <formula1>$A$15:$A$16</formula1>
    </dataValidation>
    <dataValidation type="list" allowBlank="1" showInputMessage="1" showErrorMessage="1" sqref="B2">
      <formula1>$A$17:$A$49</formula1>
    </dataValidation>
    <dataValidation type="list" allowBlank="1" showInputMessage="1" showErrorMessage="1" sqref="H5:I11 F5:F11 E6:E9 E11">
      <formula1>$L$5:$L$52</formula1>
    </dataValidation>
    <dataValidation type="list" allowBlank="1" showInputMessage="1" showErrorMessage="1" sqref="F13">
      <formula1>OFFSET($G$17,0,0,COUNTIF($G$17:$G$49,"*")-COUNTBLANK(G17:G49),1)</formula1>
    </dataValidation>
  </dataValidations>
  <pageMargins left="0.7" right="0.7" top="0.75" bottom="0.75" header="0.3" footer="0.3"/>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Show">
                <anchor moveWithCells="1" sizeWithCells="1">
                  <from>
                    <xdr:col>3</xdr:col>
                    <xdr:colOff>279400</xdr:colOff>
                    <xdr:row>1</xdr:row>
                    <xdr:rowOff>203200</xdr:rowOff>
                  </from>
                  <to>
                    <xdr:col>4</xdr:col>
                    <xdr:colOff>279400</xdr:colOff>
                    <xdr:row>1</xdr:row>
                    <xdr:rowOff>400050</xdr:rowOff>
                  </to>
                </anchor>
              </controlPr>
            </control>
          </mc:Choice>
        </mc:AlternateContent>
        <mc:AlternateContent xmlns:mc="http://schemas.openxmlformats.org/markup-compatibility/2006">
          <mc:Choice Requires="x14">
            <control shapeId="1028" r:id="rId6" name="Button 4">
              <controlPr defaultSize="0" print="0" autoFill="0" autoPict="0" macro="[0]!Apply">
                <anchor moveWithCells="1" sizeWithCells="1">
                  <from>
                    <xdr:col>7</xdr:col>
                    <xdr:colOff>152400</xdr:colOff>
                    <xdr:row>1</xdr:row>
                    <xdr:rowOff>203200</xdr:rowOff>
                  </from>
                  <to>
                    <xdr:col>8</xdr:col>
                    <xdr:colOff>647700</xdr:colOff>
                    <xdr:row>1</xdr:row>
                    <xdr:rowOff>400050</xdr:rowOff>
                  </to>
                </anchor>
              </controlPr>
            </control>
          </mc:Choice>
        </mc:AlternateContent>
        <mc:AlternateContent xmlns:mc="http://schemas.openxmlformats.org/markup-compatibility/2006">
          <mc:Choice Requires="x14">
            <control shapeId="1068" r:id="rId7" name="Button 44">
              <controlPr defaultSize="0" print="0" autoFill="0" autoPict="0" macro="[0]!_xludf.Clear">
                <anchor moveWithCells="1" sizeWithCells="1">
                  <from>
                    <xdr:col>5</xdr:col>
                    <xdr:colOff>133350</xdr:colOff>
                    <xdr:row>1</xdr:row>
                    <xdr:rowOff>203200</xdr:rowOff>
                  </from>
                  <to>
                    <xdr:col>6</xdr:col>
                    <xdr:colOff>603250</xdr:colOff>
                    <xdr:row>1</xdr:row>
                    <xdr:rowOff>469900</xdr:rowOff>
                  </to>
                </anchor>
              </controlPr>
            </control>
          </mc:Choice>
        </mc:AlternateContent>
        <mc:AlternateContent xmlns:mc="http://schemas.openxmlformats.org/markup-compatibility/2006">
          <mc:Choice Requires="x14">
            <control shapeId="1099" r:id="rId8" name="Button 75">
              <controlPr defaultSize="0" print="0" autoFill="0" autoPict="0" macro="[0]!ClearAll">
                <anchor moveWithCells="1" sizeWithCells="1">
                  <from>
                    <xdr:col>1</xdr:col>
                    <xdr:colOff>0</xdr:colOff>
                    <xdr:row>12</xdr:row>
                    <xdr:rowOff>12700</xdr:rowOff>
                  </from>
                  <to>
                    <xdr:col>1</xdr:col>
                    <xdr:colOff>1212850</xdr:colOff>
                    <xdr:row>13</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G5:G11 D5:D11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Mixail 132</cp:lastModifiedBy>
  <cp:lastPrinted>2023-02-13T19:14:05Z</cp:lastPrinted>
  <dcterms:created xsi:type="dcterms:W3CDTF">2006-09-16T00:00:00Z</dcterms:created>
  <dcterms:modified xsi:type="dcterms:W3CDTF">2023-04-22T08:23:46Z</dcterms:modified>
</cp:coreProperties>
</file>